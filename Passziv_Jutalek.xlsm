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defaultThemeVersion="166925"/>
  <mc:AlternateContent xmlns:mc="http://schemas.openxmlformats.org/markup-compatibility/2006">
    <mc:Choice Requires="x15">
      <x15ac:absPath xmlns:x15ac="http://schemas.microsoft.com/office/spreadsheetml/2010/11/ac" url="F:\Work\sales-shit\"/>
    </mc:Choice>
  </mc:AlternateContent>
  <xr:revisionPtr revIDLastSave="0" documentId="13_ncr:1_{2C36E663-0730-4429-BEA4-37CCC119E6F2}" xr6:coauthVersionLast="45" xr6:coauthVersionMax="45" xr10:uidLastSave="{00000000-0000-0000-0000-000000000000}"/>
  <bookViews>
    <workbookView xWindow="-120" yWindow="-120" windowWidth="29040" windowHeight="15840" xr2:uid="{C39F33CC-B9F4-4D5C-8039-FD62D4B89DD1}"/>
  </bookViews>
  <sheets>
    <sheet name="Munka1" sheetId="1" r:id="rId1"/>
    <sheet name="Munka2" sheetId="2" r:id="rId2"/>
    <sheet name="Munka3" sheetId="3" r:id="rId3"/>
  </sheets>
  <definedNames>
    <definedName name="_xlnm.Print_Titles" localSheetId="0">Munka1!$A:$B,Munka1!$1:$5</definedName>
    <definedName name="_xlnm.Print_Area" localSheetId="0">Munka1!$A$1:$AL$41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1" l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O7" i="1"/>
  <c r="O8" i="1"/>
  <c r="O9" i="1"/>
  <c r="O10" i="1"/>
  <c r="O11" i="1"/>
  <c r="O12" i="1"/>
  <c r="O13" i="1"/>
  <c r="O14" i="1"/>
  <c r="O15" i="1"/>
  <c r="O16" i="1"/>
  <c r="O17" i="1"/>
  <c r="P8" i="1"/>
  <c r="P9" i="1"/>
  <c r="P10" i="1"/>
  <c r="P11" i="1"/>
  <c r="P12" i="1"/>
  <c r="P13" i="1"/>
  <c r="P14" i="1"/>
  <c r="P15" i="1"/>
  <c r="P16" i="1"/>
  <c r="P17" i="1"/>
  <c r="Q9" i="1"/>
  <c r="Q10" i="1"/>
  <c r="Q11" i="1"/>
  <c r="Q12" i="1"/>
  <c r="Q13" i="1"/>
  <c r="Q14" i="1"/>
  <c r="Q15" i="1"/>
  <c r="Q16" i="1"/>
  <c r="Q17" i="1"/>
  <c r="R10" i="1"/>
  <c r="R11" i="1"/>
  <c r="R12" i="1"/>
  <c r="R13" i="1"/>
  <c r="R14" i="1"/>
  <c r="R15" i="1"/>
  <c r="R16" i="1"/>
  <c r="R17" i="1"/>
  <c r="S11" i="1"/>
  <c r="S12" i="1"/>
  <c r="S13" i="1"/>
  <c r="S14" i="1"/>
  <c r="S15" i="1"/>
  <c r="S16" i="1"/>
  <c r="S17" i="1"/>
  <c r="T12" i="1"/>
  <c r="T13" i="1"/>
  <c r="T14" i="1"/>
  <c r="T15" i="1"/>
  <c r="T16" i="1"/>
  <c r="T17" i="1"/>
  <c r="U13" i="1"/>
  <c r="U14" i="1"/>
  <c r="U15" i="1"/>
  <c r="U16" i="1"/>
  <c r="U17" i="1"/>
  <c r="V14" i="1"/>
  <c r="V15" i="1"/>
  <c r="V16" i="1"/>
  <c r="V17" i="1"/>
  <c r="W15" i="1"/>
  <c r="W16" i="1"/>
  <c r="W17" i="1"/>
  <c r="X16" i="1"/>
  <c r="X17" i="1"/>
  <c r="Y17" i="1"/>
  <c r="G3" i="1" l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F3" i="1"/>
  <c r="F6" i="1" l="1"/>
  <c r="F7" i="1"/>
  <c r="F8" i="1"/>
  <c r="F9" i="1"/>
  <c r="D6" i="1"/>
  <c r="C6" i="1"/>
  <c r="C4" i="1" s="1"/>
  <c r="P6" i="1" l="1"/>
  <c r="N17" i="1"/>
  <c r="N16" i="1"/>
  <c r="M16" i="1"/>
  <c r="N15" i="1"/>
  <c r="M15" i="1"/>
  <c r="L15" i="1"/>
  <c r="N14" i="1"/>
  <c r="M14" i="1"/>
  <c r="L14" i="1"/>
  <c r="K14" i="1"/>
  <c r="N13" i="1"/>
  <c r="M13" i="1"/>
  <c r="L13" i="1"/>
  <c r="K13" i="1"/>
  <c r="J13" i="1"/>
  <c r="N12" i="1"/>
  <c r="M12" i="1"/>
  <c r="L12" i="1"/>
  <c r="K12" i="1"/>
  <c r="J12" i="1"/>
  <c r="I12" i="1"/>
  <c r="N11" i="1"/>
  <c r="M11" i="1"/>
  <c r="L11" i="1"/>
  <c r="K11" i="1"/>
  <c r="J11" i="1"/>
  <c r="I11" i="1"/>
  <c r="H11" i="1"/>
  <c r="N10" i="1"/>
  <c r="M10" i="1"/>
  <c r="L10" i="1"/>
  <c r="K10" i="1"/>
  <c r="J10" i="1"/>
  <c r="I10" i="1"/>
  <c r="H10" i="1"/>
  <c r="G10" i="1"/>
  <c r="N9" i="1"/>
  <c r="M9" i="1"/>
  <c r="L9" i="1"/>
  <c r="K9" i="1"/>
  <c r="J9" i="1"/>
  <c r="I9" i="1"/>
  <c r="H9" i="1"/>
  <c r="G9" i="1"/>
  <c r="N8" i="1"/>
  <c r="M8" i="1"/>
  <c r="L8" i="1"/>
  <c r="K8" i="1"/>
  <c r="J8" i="1"/>
  <c r="I8" i="1"/>
  <c r="H8" i="1"/>
  <c r="G8" i="1"/>
  <c r="E8" i="1"/>
  <c r="N7" i="1"/>
  <c r="M7" i="1"/>
  <c r="L7" i="1"/>
  <c r="K7" i="1"/>
  <c r="J7" i="1"/>
  <c r="I7" i="1"/>
  <c r="H7" i="1"/>
  <c r="G7" i="1"/>
  <c r="E7" i="1"/>
  <c r="D7" i="1"/>
  <c r="D4" i="1" s="1"/>
  <c r="E6" i="1"/>
  <c r="G6" i="1"/>
  <c r="H6" i="1"/>
  <c r="I6" i="1"/>
  <c r="J6" i="1"/>
  <c r="K6" i="1"/>
  <c r="L6" i="1"/>
  <c r="M6" i="1"/>
  <c r="N6" i="1"/>
  <c r="Q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O9" i="1"/>
  <c r="AN9" i="1"/>
  <c r="AM9" i="1"/>
  <c r="AL9" i="1"/>
  <c r="AK9" i="1"/>
  <c r="AJ9" i="1"/>
  <c r="AI9" i="1"/>
  <c r="AH9" i="1"/>
  <c r="AG9" i="1"/>
  <c r="AF9" i="1"/>
  <c r="AE9" i="1"/>
  <c r="AD9" i="1"/>
  <c r="AN8" i="1"/>
  <c r="AM8" i="1"/>
  <c r="AL8" i="1"/>
  <c r="AK8" i="1"/>
  <c r="AJ8" i="1"/>
  <c r="AI8" i="1"/>
  <c r="AH8" i="1"/>
  <c r="AG8" i="1"/>
  <c r="AF8" i="1"/>
  <c r="AE8" i="1"/>
  <c r="AD8" i="1"/>
  <c r="AC8" i="1"/>
  <c r="AM7" i="1"/>
  <c r="AL7" i="1"/>
  <c r="AK7" i="1"/>
  <c r="AJ7" i="1"/>
  <c r="AI7" i="1"/>
  <c r="AH7" i="1"/>
  <c r="AG7" i="1"/>
  <c r="AF7" i="1"/>
  <c r="AE7" i="1"/>
  <c r="AD7" i="1"/>
  <c r="AC7" i="1"/>
  <c r="AB7" i="1"/>
  <c r="AB6" i="1"/>
  <c r="AC6" i="1"/>
  <c r="AD6" i="1"/>
  <c r="AE6" i="1"/>
  <c r="AF6" i="1"/>
  <c r="AG6" i="1"/>
  <c r="AH6" i="1"/>
  <c r="AI6" i="1"/>
  <c r="AJ6" i="1"/>
  <c r="AK6" i="1"/>
  <c r="AL6" i="1"/>
  <c r="AA6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AI15" i="1"/>
  <c r="AH15" i="1"/>
  <c r="AG15" i="1"/>
  <c r="AF15" i="1"/>
  <c r="AE15" i="1"/>
  <c r="AD15" i="1"/>
  <c r="AC15" i="1"/>
  <c r="AB15" i="1"/>
  <c r="AA15" i="1"/>
  <c r="Z15" i="1"/>
  <c r="Y15" i="1"/>
  <c r="X15" i="1"/>
  <c r="AH14" i="1"/>
  <c r="AG14" i="1"/>
  <c r="AF14" i="1"/>
  <c r="AE14" i="1"/>
  <c r="AD14" i="1"/>
  <c r="AC14" i="1"/>
  <c r="AB14" i="1"/>
  <c r="AA14" i="1"/>
  <c r="Z14" i="1"/>
  <c r="Y14" i="1"/>
  <c r="X14" i="1"/>
  <c r="W14" i="1"/>
  <c r="AG13" i="1"/>
  <c r="AF13" i="1"/>
  <c r="AE13" i="1"/>
  <c r="AD13" i="1"/>
  <c r="AC13" i="1"/>
  <c r="AB13" i="1"/>
  <c r="AA13" i="1"/>
  <c r="Z13" i="1"/>
  <c r="Y13" i="1"/>
  <c r="X13" i="1"/>
  <c r="W13" i="1"/>
  <c r="V13" i="1"/>
  <c r="AF12" i="1"/>
  <c r="AE12" i="1"/>
  <c r="AD12" i="1"/>
  <c r="AC12" i="1"/>
  <c r="AB12" i="1"/>
  <c r="AA12" i="1"/>
  <c r="Z12" i="1"/>
  <c r="Y12" i="1"/>
  <c r="X12" i="1"/>
  <c r="W12" i="1"/>
  <c r="V12" i="1"/>
  <c r="U12" i="1"/>
  <c r="AE11" i="1"/>
  <c r="AD11" i="1"/>
  <c r="AC11" i="1"/>
  <c r="AB11" i="1"/>
  <c r="AA11" i="1"/>
  <c r="Z11" i="1"/>
  <c r="Y11" i="1"/>
  <c r="X11" i="1"/>
  <c r="W11" i="1"/>
  <c r="V11" i="1"/>
  <c r="U11" i="1"/>
  <c r="T11" i="1"/>
  <c r="AD10" i="1"/>
  <c r="AC10" i="1"/>
  <c r="AB10" i="1"/>
  <c r="AA10" i="1"/>
  <c r="Z10" i="1"/>
  <c r="Y10" i="1"/>
  <c r="X10" i="1"/>
  <c r="W10" i="1"/>
  <c r="V10" i="1"/>
  <c r="U10" i="1"/>
  <c r="T10" i="1"/>
  <c r="S10" i="1"/>
  <c r="AC9" i="1"/>
  <c r="AB9" i="1"/>
  <c r="AA9" i="1"/>
  <c r="Z9" i="1"/>
  <c r="Y9" i="1"/>
  <c r="X9" i="1"/>
  <c r="W9" i="1"/>
  <c r="V9" i="1"/>
  <c r="U9" i="1"/>
  <c r="T9" i="1"/>
  <c r="S9" i="1"/>
  <c r="R9" i="1"/>
  <c r="AB8" i="1"/>
  <c r="AA8" i="1"/>
  <c r="Z8" i="1"/>
  <c r="Y8" i="1"/>
  <c r="X8" i="1"/>
  <c r="W8" i="1"/>
  <c r="V8" i="1"/>
  <c r="U8" i="1"/>
  <c r="T8" i="1"/>
  <c r="S8" i="1"/>
  <c r="R8" i="1"/>
  <c r="Q8" i="1"/>
  <c r="AA7" i="1"/>
  <c r="I4" i="1" l="1"/>
  <c r="K4" i="1"/>
  <c r="AL4" i="1"/>
  <c r="E4" i="1"/>
  <c r="AH4" i="1"/>
  <c r="J4" i="1"/>
  <c r="AI4" i="1"/>
  <c r="H4" i="1"/>
  <c r="AG4" i="1"/>
  <c r="AF4" i="1"/>
  <c r="AA4" i="1"/>
  <c r="AE4" i="1"/>
  <c r="G4" i="1"/>
  <c r="AD4" i="1"/>
  <c r="N4" i="1"/>
  <c r="AK4" i="1"/>
  <c r="M4" i="1"/>
  <c r="AC4" i="1"/>
  <c r="AJ4" i="1"/>
  <c r="AB4" i="1"/>
  <c r="L4" i="1"/>
  <c r="P7" i="1"/>
  <c r="P4" i="1" s="1"/>
  <c r="R7" i="1"/>
  <c r="S7" i="1"/>
  <c r="T7" i="1"/>
  <c r="U7" i="1"/>
  <c r="V7" i="1"/>
  <c r="W7" i="1"/>
  <c r="X7" i="1"/>
  <c r="Y7" i="1"/>
  <c r="Z7" i="1"/>
  <c r="Q6" i="1"/>
  <c r="Q4" i="1" s="1"/>
  <c r="R6" i="1"/>
  <c r="S6" i="1"/>
  <c r="T6" i="1"/>
  <c r="U6" i="1"/>
  <c r="V6" i="1"/>
  <c r="W6" i="1"/>
  <c r="X6" i="1"/>
  <c r="Y6" i="1"/>
  <c r="Z6" i="1"/>
  <c r="O6" i="1"/>
  <c r="O4" i="1" s="1"/>
  <c r="S4" i="1" l="1"/>
  <c r="T4" i="1"/>
  <c r="V4" i="1"/>
  <c r="U4" i="1"/>
  <c r="Z4" i="1"/>
  <c r="R4" i="1"/>
  <c r="W4" i="1"/>
  <c r="Y4" i="1"/>
  <c r="X4" i="1"/>
  <c r="F4" i="1"/>
  <c r="G20" i="1" l="1"/>
</calcChain>
</file>

<file path=xl/sharedStrings.xml><?xml version="1.0" encoding="utf-8"?>
<sst xmlns="http://schemas.openxmlformats.org/spreadsheetml/2006/main" count="88" uniqueCount="25">
  <si>
    <t>január</t>
  </si>
  <si>
    <t>február</t>
  </si>
  <si>
    <t>március</t>
  </si>
  <si>
    <t>április</t>
  </si>
  <si>
    <t>május</t>
  </si>
  <si>
    <t>június</t>
  </si>
  <si>
    <t>július</t>
  </si>
  <si>
    <t>augusztus</t>
  </si>
  <si>
    <t>szeptember</t>
  </si>
  <si>
    <t>október</t>
  </si>
  <si>
    <t>november</t>
  </si>
  <si>
    <t>december</t>
  </si>
  <si>
    <t>1.év szerződései</t>
  </si>
  <si>
    <t>2.év szerződései</t>
  </si>
  <si>
    <t>3.év szerződései</t>
  </si>
  <si>
    <t>1. év szerződés tartama</t>
  </si>
  <si>
    <t>2. év szerződés tartama</t>
  </si>
  <si>
    <t>3. év szerződés tartama</t>
  </si>
  <si>
    <t>HAVI DÍJ:</t>
  </si>
  <si>
    <t>Első éves jutalékkulcs:</t>
  </si>
  <si>
    <t>Szerződések megmaradása:</t>
  </si>
  <si>
    <t>Folyamatos jutalék kulcsa:</t>
  </si>
  <si>
    <t>A három év összes jutaléka:</t>
  </si>
  <si>
    <t>Fulltimer jutalék kulcsa:</t>
  </si>
  <si>
    <t>JUTALÉK (alap+FTC):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</si>
</sst>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* #,##0\ &quot;Ft&quot;_-;\-* #,##0\ &quot;Ft&quot;_-;_-* &quot;-&quot;\ &quot;Ft&quot;_-;_-@_-"/>
    <numFmt numFmtId="44" formatCode="_-* #,##0.00\ &quot;Ft&quot;_-;\-* #,##0.00\ &quot;Ft&quot;_-;_-* &quot;-&quot;??\ &quot;Ft&quot;_-;_-@_-"/>
  </numFmts>
  <fonts count="12" x14ac:knownFonts="1">
    <font>
      <sz val="10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sz val="10"/>
      <color theme="1"/>
      <name val="Arial Narrow"/>
      <family val="2"/>
      <charset val="238"/>
    </font>
    <font>
      <b/>
      <sz val="10"/>
      <color theme="1"/>
      <name val="Arial Narrow"/>
      <family val="2"/>
      <charset val="238"/>
    </font>
    <font>
      <b/>
      <sz val="12"/>
      <color theme="1"/>
      <name val="Arial"/>
      <family val="2"/>
      <charset val="238"/>
    </font>
    <font>
      <b/>
      <sz val="14"/>
      <color theme="1"/>
      <name val="Arial"/>
      <family val="2"/>
      <charset val="238"/>
    </font>
    <font>
      <b/>
      <sz val="11"/>
      <color theme="0"/>
      <name val="Arial"/>
      <family val="2"/>
      <charset val="238"/>
    </font>
    <font>
      <b/>
      <sz val="12"/>
      <color theme="0"/>
      <name val="Arial"/>
      <family val="2"/>
      <charset val="238"/>
    </font>
    <font>
      <b/>
      <sz val="10"/>
      <color theme="0"/>
      <name val="Arial Narrow"/>
      <family val="2"/>
      <charset val="238"/>
    </font>
    <font>
      <sz val="36"/>
      <name val="Arial Narrow"/>
      <family val="2"/>
      <charset val="238"/>
    </font>
    <font>
      <b/>
      <sz val="10"/>
      <color theme="0"/>
      <name val="Arial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/>
      <diagonal/>
    </border>
    <border>
      <left/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/>
      <top/>
      <bottom style="medium">
        <color indexed="64"/>
      </bottom>
      <diagonal/>
    </border>
    <border>
      <left style="medium">
        <color indexed="64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2">
    <xf numFmtId="0" fontId="0" fillId="0" borderId="0" xfId="0"/>
    <xf numFmtId="0" fontId="2" fillId="0" borderId="0" xfId="0" applyFont="1"/>
    <xf numFmtId="0" fontId="3" fillId="0" borderId="0" xfId="0" applyFont="1"/>
    <xf numFmtId="42" fontId="3" fillId="0" borderId="0" xfId="0" applyNumberFormat="1" applyFont="1"/>
    <xf numFmtId="0" fontId="0" fillId="0" borderId="4" xfId="0" applyBorder="1"/>
    <xf numFmtId="42" fontId="3" fillId="0" borderId="4" xfId="0" applyNumberFormat="1" applyFont="1" applyBorder="1"/>
    <xf numFmtId="42" fontId="3" fillId="3" borderId="4" xfId="0" applyNumberFormat="1" applyFont="1" applyFill="1" applyBorder="1"/>
    <xf numFmtId="42" fontId="3" fillId="4" borderId="4" xfId="0" applyNumberFormat="1" applyFont="1" applyFill="1" applyBorder="1"/>
    <xf numFmtId="0" fontId="0" fillId="0" borderId="5" xfId="0" applyBorder="1"/>
    <xf numFmtId="0" fontId="0" fillId="0" borderId="0" xfId="0" applyBorder="1"/>
    <xf numFmtId="42" fontId="3" fillId="0" borderId="0" xfId="0" applyNumberFormat="1" applyFont="1" applyBorder="1"/>
    <xf numFmtId="42" fontId="3" fillId="3" borderId="0" xfId="0" applyNumberFormat="1" applyFont="1" applyFill="1" applyBorder="1"/>
    <xf numFmtId="42" fontId="3" fillId="4" borderId="0" xfId="0" applyNumberFormat="1" applyFont="1" applyFill="1" applyBorder="1"/>
    <xf numFmtId="0" fontId="0" fillId="0" borderId="6" xfId="0" applyBorder="1"/>
    <xf numFmtId="0" fontId="0" fillId="0" borderId="7" xfId="0" applyBorder="1"/>
    <xf numFmtId="42" fontId="3" fillId="0" borderId="7" xfId="0" applyNumberFormat="1" applyFont="1" applyBorder="1"/>
    <xf numFmtId="42" fontId="3" fillId="3" borderId="7" xfId="0" applyNumberFormat="1" applyFont="1" applyFill="1" applyBorder="1"/>
    <xf numFmtId="42" fontId="3" fillId="4" borderId="7" xfId="0" applyNumberFormat="1" applyFont="1" applyFill="1" applyBorder="1"/>
    <xf numFmtId="0" fontId="0" fillId="0" borderId="8" xfId="0" applyBorder="1"/>
    <xf numFmtId="0" fontId="3" fillId="0" borderId="4" xfId="0" applyFont="1" applyBorder="1"/>
    <xf numFmtId="0" fontId="3" fillId="0" borderId="0" xfId="0" applyFont="1" applyBorder="1"/>
    <xf numFmtId="0" fontId="3" fillId="0" borderId="7" xfId="0" applyFont="1" applyBorder="1"/>
    <xf numFmtId="42" fontId="3" fillId="4" borderId="8" xfId="0" applyNumberFormat="1" applyFont="1" applyFill="1" applyBorder="1"/>
    <xf numFmtId="0" fontId="2" fillId="0" borderId="0" xfId="0" applyFont="1" applyAlignment="1">
      <alignment horizontal="center" vertical="center"/>
    </xf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0" fillId="0" borderId="0" xfId="0" applyAlignment="1">
      <alignment horizontal="center" vertical="center"/>
    </xf>
    <xf numFmtId="9" fontId="5" fillId="0" borderId="14" xfId="0" applyNumberFormat="1" applyFont="1" applyBorder="1" applyAlignment="1">
      <alignment horizontal="center" vertical="center"/>
    </xf>
    <xf numFmtId="42" fontId="3" fillId="6" borderId="15" xfId="0" applyNumberFormat="1" applyFont="1" applyFill="1" applyBorder="1"/>
    <xf numFmtId="42" fontId="3" fillId="6" borderId="16" xfId="0" applyNumberFormat="1" applyFont="1" applyFill="1" applyBorder="1"/>
    <xf numFmtId="42" fontId="3" fillId="6" borderId="18" xfId="0" applyNumberFormat="1" applyFont="1" applyFill="1" applyBorder="1"/>
    <xf numFmtId="42" fontId="3" fillId="6" borderId="0" xfId="0" applyNumberFormat="1" applyFont="1" applyFill="1" applyBorder="1"/>
    <xf numFmtId="42" fontId="3" fillId="6" borderId="20" xfId="0" applyNumberFormat="1" applyFont="1" applyFill="1" applyBorder="1"/>
    <xf numFmtId="42" fontId="3" fillId="6" borderId="21" xfId="0" applyNumberFormat="1" applyFont="1" applyFill="1" applyBorder="1"/>
    <xf numFmtId="42" fontId="3" fillId="6" borderId="17" xfId="0" applyNumberFormat="1" applyFont="1" applyFill="1" applyBorder="1"/>
    <xf numFmtId="42" fontId="3" fillId="6" borderId="19" xfId="0" applyNumberFormat="1" applyFont="1" applyFill="1" applyBorder="1"/>
    <xf numFmtId="42" fontId="3" fillId="6" borderId="22" xfId="0" applyNumberFormat="1" applyFont="1" applyFill="1" applyBorder="1"/>
    <xf numFmtId="0" fontId="2" fillId="6" borderId="6" xfId="0" applyFont="1" applyFill="1" applyBorder="1"/>
    <xf numFmtId="42" fontId="9" fillId="5" borderId="34" xfId="0" applyNumberFormat="1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3" fillId="6" borderId="0" xfId="0" applyFont="1" applyFill="1" applyBorder="1"/>
    <xf numFmtId="9" fontId="9" fillId="5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7" borderId="36" xfId="0" applyFont="1" applyFill="1" applyBorder="1"/>
    <xf numFmtId="0" fontId="2" fillId="6" borderId="37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0" fillId="6" borderId="40" xfId="0" applyFill="1" applyBorder="1"/>
    <xf numFmtId="0" fontId="4" fillId="4" borderId="4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textRotation="90"/>
    </xf>
    <xf numFmtId="0" fontId="6" fillId="2" borderId="2" xfId="0" applyFont="1" applyFill="1" applyBorder="1" applyAlignment="1">
      <alignment horizontal="center" vertical="center" textRotation="90"/>
    </xf>
    <xf numFmtId="0" fontId="6" fillId="2" borderId="3" xfId="0" applyFont="1" applyFill="1" applyBorder="1" applyAlignment="1">
      <alignment horizontal="center" vertical="center" textRotation="90"/>
    </xf>
    <xf numFmtId="0" fontId="5" fillId="6" borderId="5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right" vertical="center"/>
    </xf>
    <xf numFmtId="0" fontId="2" fillId="6" borderId="24" xfId="0" applyFont="1" applyFill="1" applyBorder="1" applyAlignment="1">
      <alignment horizontal="right" vertical="center"/>
    </xf>
    <xf numFmtId="0" fontId="2" fillId="6" borderId="26" xfId="0" applyFont="1" applyFill="1" applyBorder="1" applyAlignment="1">
      <alignment horizontal="right" vertical="center"/>
    </xf>
    <xf numFmtId="0" fontId="2" fillId="6" borderId="27" xfId="0" applyFont="1" applyFill="1" applyBorder="1" applyAlignment="1">
      <alignment horizontal="right" vertical="center"/>
    </xf>
    <xf numFmtId="42" fontId="5" fillId="0" borderId="24" xfId="1" applyNumberFormat="1" applyFont="1" applyBorder="1" applyAlignment="1">
      <alignment horizontal="center" vertical="center"/>
    </xf>
    <xf numFmtId="42" fontId="5" fillId="0" borderId="25" xfId="1" applyNumberFormat="1" applyFont="1" applyBorder="1" applyAlignment="1">
      <alignment horizontal="center" vertical="center"/>
    </xf>
    <xf numFmtId="42" fontId="5" fillId="0" borderId="27" xfId="1" applyNumberFormat="1" applyFont="1" applyBorder="1" applyAlignment="1">
      <alignment horizontal="center" vertical="center"/>
    </xf>
    <xf numFmtId="42" fontId="5" fillId="0" borderId="28" xfId="1" applyNumberFormat="1" applyFont="1" applyBorder="1" applyAlignment="1">
      <alignment horizontal="center" vertical="center"/>
    </xf>
    <xf numFmtId="42" fontId="11" fillId="5" borderId="34" xfId="1" applyNumberFormat="1" applyFont="1" applyFill="1" applyBorder="1" applyAlignment="1">
      <alignment horizontal="center" vertical="center"/>
    </xf>
    <xf numFmtId="42" fontId="7" fillId="5" borderId="34" xfId="1" applyNumberFormat="1" applyFont="1" applyFill="1" applyBorder="1" applyAlignment="1">
      <alignment horizontal="center" vertical="center"/>
    </xf>
    <xf numFmtId="42" fontId="10" fillId="6" borderId="19" xfId="0" applyNumberFormat="1" applyFont="1" applyFill="1" applyBorder="1" applyAlignment="1">
      <alignment horizontal="center" vertical="center"/>
    </xf>
    <xf numFmtId="42" fontId="10" fillId="6" borderId="33" xfId="0" applyNumberFormat="1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right" vertical="center" wrapText="1"/>
    </xf>
    <xf numFmtId="0" fontId="2" fillId="6" borderId="29" xfId="0" applyFont="1" applyFill="1" applyBorder="1" applyAlignment="1">
      <alignment horizontal="right" vertical="center" wrapText="1"/>
    </xf>
    <xf numFmtId="0" fontId="2" fillId="6" borderId="11" xfId="0" applyFont="1" applyFill="1" applyBorder="1" applyAlignment="1">
      <alignment horizontal="right" vertical="center" wrapText="1"/>
    </xf>
    <xf numFmtId="0" fontId="2" fillId="6" borderId="31" xfId="0" applyFont="1" applyFill="1" applyBorder="1" applyAlignment="1">
      <alignment horizontal="right" vertical="center" wrapText="1"/>
    </xf>
    <xf numFmtId="42" fontId="8" fillId="5" borderId="30" xfId="0" applyNumberFormat="1" applyFont="1" applyFill="1" applyBorder="1" applyAlignment="1">
      <alignment horizontal="center" vertical="center"/>
    </xf>
    <xf numFmtId="42" fontId="8" fillId="5" borderId="5" xfId="0" applyNumberFormat="1" applyFont="1" applyFill="1" applyBorder="1" applyAlignment="1">
      <alignment horizontal="center" vertical="center"/>
    </xf>
    <xf numFmtId="42" fontId="8" fillId="5" borderId="32" xfId="0" applyNumberFormat="1" applyFont="1" applyFill="1" applyBorder="1" applyAlignment="1">
      <alignment horizontal="center" vertical="center"/>
    </xf>
    <xf numFmtId="42" fontId="8" fillId="5" borderId="8" xfId="0" applyNumberFormat="1" applyFont="1" applyFill="1" applyBorder="1" applyAlignment="1">
      <alignment horizontal="center" vertical="center"/>
    </xf>
  </cellXfs>
  <cellStyles count="2">
    <cellStyle name="Normál" xfId="0" builtinId="0"/>
    <cellStyle name="Pénznem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4D7EC-D0EE-4BF8-8D1E-D79DBDA5451E}">
  <sheetPr>
    <pageSetUpPr fitToPage="1"/>
  </sheetPr>
  <dimension ref="A1:CC45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G13" sqref="G13"/>
    </sheetView>
  </sheetViews>
  <sheetFormatPr defaultRowHeight="12.75" x14ac:dyDescent="0.2"/>
  <cols>
    <col min="1" max="1" width="8.85546875" customWidth="1"/>
    <col min="2" max="2" width="15" style="1" customWidth="1"/>
    <col min="3" max="38" width="9.7109375" style="2" customWidth="1"/>
    <col min="39" max="73" width="9.7109375" customWidth="1"/>
  </cols>
  <sheetData>
    <row r="1" spans="1:73" s="27" customFormat="1" ht="25.5" customHeight="1" thickBot="1" x14ac:dyDescent="0.25">
      <c r="A1" s="49"/>
      <c r="B1" s="50"/>
      <c r="C1" s="55" t="s">
        <v>19</v>
      </c>
      <c r="D1" s="56"/>
      <c r="E1" s="28">
        <v>0.55000000000000004</v>
      </c>
      <c r="F1" s="55" t="s">
        <v>20</v>
      </c>
      <c r="G1" s="56"/>
      <c r="H1" s="28">
        <v>1</v>
      </c>
      <c r="I1" s="51"/>
      <c r="J1" s="51"/>
      <c r="K1" s="51"/>
      <c r="L1" s="51"/>
      <c r="M1" s="51"/>
      <c r="N1" s="51"/>
      <c r="O1" s="55" t="s">
        <v>21</v>
      </c>
      <c r="P1" s="56"/>
      <c r="Q1" s="28">
        <v>0.15</v>
      </c>
      <c r="R1" s="55" t="s">
        <v>20</v>
      </c>
      <c r="S1" s="56"/>
      <c r="T1" s="28">
        <v>0.9</v>
      </c>
      <c r="U1" s="51"/>
      <c r="V1" s="51"/>
      <c r="W1" s="51"/>
      <c r="X1" s="51"/>
      <c r="Y1" s="51"/>
      <c r="Z1" s="51"/>
      <c r="AA1" s="55" t="s">
        <v>21</v>
      </c>
      <c r="AB1" s="56"/>
      <c r="AC1" s="28">
        <v>0.15</v>
      </c>
      <c r="AD1" s="55" t="s">
        <v>20</v>
      </c>
      <c r="AE1" s="56"/>
      <c r="AF1" s="28">
        <v>0.8</v>
      </c>
      <c r="AG1" s="51"/>
      <c r="AH1" s="51"/>
      <c r="AI1" s="51"/>
      <c r="AJ1" s="51"/>
      <c r="AK1" s="51"/>
      <c r="AL1" s="52"/>
    </row>
    <row r="2" spans="1:73" ht="26.25" customHeight="1" x14ac:dyDescent="0.2">
      <c r="A2" s="53"/>
      <c r="B2" s="38"/>
      <c r="C2" s="60" t="s">
        <v>15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 t="s">
        <v>16</v>
      </c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 t="s">
        <v>17</v>
      </c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</row>
    <row r="3" spans="1:73" s="45" customFormat="1" ht="23.25" customHeight="1" x14ac:dyDescent="0.2">
      <c r="A3" s="70" t="s">
        <v>23</v>
      </c>
      <c r="B3" s="70"/>
      <c r="C3" s="44">
        <v>0.3</v>
      </c>
      <c r="D3" s="44">
        <v>0.3</v>
      </c>
      <c r="E3" s="44">
        <v>0.3</v>
      </c>
      <c r="F3" s="44">
        <f>IF($G$17*12*3&gt;=1800000,0.5,IF($G$17*12*3&gt;=900000,0.4,IF($G$17*12*3&gt;=450000,0.3,)))</f>
        <v>0.3</v>
      </c>
      <c r="G3" s="44">
        <f t="shared" ref="G3:AL3" si="0">IF($G$17*12*3&gt;=1800000,0.5,IF($G$17*12*3&gt;=900000,0.4,IF($G$17*12*3&gt;=450000,0.3,)))</f>
        <v>0.3</v>
      </c>
      <c r="H3" s="44">
        <f t="shared" si="0"/>
        <v>0.3</v>
      </c>
      <c r="I3" s="44">
        <f t="shared" si="0"/>
        <v>0.3</v>
      </c>
      <c r="J3" s="44">
        <f t="shared" si="0"/>
        <v>0.3</v>
      </c>
      <c r="K3" s="44">
        <f t="shared" si="0"/>
        <v>0.3</v>
      </c>
      <c r="L3" s="44">
        <f t="shared" si="0"/>
        <v>0.3</v>
      </c>
      <c r="M3" s="44">
        <f t="shared" si="0"/>
        <v>0.3</v>
      </c>
      <c r="N3" s="44">
        <f t="shared" si="0"/>
        <v>0.3</v>
      </c>
      <c r="O3" s="44">
        <f t="shared" si="0"/>
        <v>0.3</v>
      </c>
      <c r="P3" s="44">
        <f t="shared" si="0"/>
        <v>0.3</v>
      </c>
      <c r="Q3" s="44">
        <f t="shared" si="0"/>
        <v>0.3</v>
      </c>
      <c r="R3" s="44">
        <f t="shared" si="0"/>
        <v>0.3</v>
      </c>
      <c r="S3" s="44">
        <f t="shared" si="0"/>
        <v>0.3</v>
      </c>
      <c r="T3" s="44">
        <f t="shared" si="0"/>
        <v>0.3</v>
      </c>
      <c r="U3" s="44">
        <f t="shared" si="0"/>
        <v>0.3</v>
      </c>
      <c r="V3" s="44">
        <f t="shared" si="0"/>
        <v>0.3</v>
      </c>
      <c r="W3" s="44">
        <f t="shared" si="0"/>
        <v>0.3</v>
      </c>
      <c r="X3" s="44">
        <f t="shared" si="0"/>
        <v>0.3</v>
      </c>
      <c r="Y3" s="44">
        <f t="shared" si="0"/>
        <v>0.3</v>
      </c>
      <c r="Z3" s="44">
        <f t="shared" si="0"/>
        <v>0.3</v>
      </c>
      <c r="AA3" s="44">
        <f t="shared" si="0"/>
        <v>0.3</v>
      </c>
      <c r="AB3" s="44">
        <f t="shared" si="0"/>
        <v>0.3</v>
      </c>
      <c r="AC3" s="44">
        <f t="shared" si="0"/>
        <v>0.3</v>
      </c>
      <c r="AD3" s="44">
        <f t="shared" si="0"/>
        <v>0.3</v>
      </c>
      <c r="AE3" s="44">
        <f t="shared" si="0"/>
        <v>0.3</v>
      </c>
      <c r="AF3" s="44">
        <f t="shared" si="0"/>
        <v>0.3</v>
      </c>
      <c r="AG3" s="44">
        <f t="shared" si="0"/>
        <v>0.3</v>
      </c>
      <c r="AH3" s="44">
        <f t="shared" si="0"/>
        <v>0.3</v>
      </c>
      <c r="AI3" s="44">
        <f t="shared" si="0"/>
        <v>0.3</v>
      </c>
      <c r="AJ3" s="44">
        <f t="shared" si="0"/>
        <v>0.3</v>
      </c>
      <c r="AK3" s="44">
        <f t="shared" si="0"/>
        <v>0.3</v>
      </c>
      <c r="AL3" s="44">
        <f t="shared" si="0"/>
        <v>0.3</v>
      </c>
    </row>
    <row r="4" spans="1:73" ht="23.25" customHeight="1" x14ac:dyDescent="0.2">
      <c r="A4" s="71" t="s">
        <v>24</v>
      </c>
      <c r="B4" s="71"/>
      <c r="C4" s="39">
        <f>SUM(C6:C41)+($G$17*12*C3)</f>
        <v>62250</v>
      </c>
      <c r="D4" s="39">
        <f>SUM(D6:D41)+($G$17*12*2*D3)</f>
        <v>124500</v>
      </c>
      <c r="E4" s="39">
        <f>SUM(E6:E41)+($G$17*12*3*E3)</f>
        <v>186750</v>
      </c>
      <c r="F4" s="39">
        <f>SUM(F6:F41)+($G$17*12*3*F3)</f>
        <v>195000</v>
      </c>
      <c r="G4" s="39">
        <f>SUM(G6:G14)+($G$17*12*3*G3)</f>
        <v>203250</v>
      </c>
      <c r="H4" s="39">
        <f t="shared" ref="H4:N4" si="1">SUM(H6:H41)+($G$17*12*3*H3)</f>
        <v>211500</v>
      </c>
      <c r="I4" s="39">
        <f>SUM(I6:I41)+($G$17*12*3*I3)</f>
        <v>219750</v>
      </c>
      <c r="J4" s="39">
        <f t="shared" si="1"/>
        <v>228000</v>
      </c>
      <c r="K4" s="39">
        <f t="shared" si="1"/>
        <v>236250</v>
      </c>
      <c r="L4" s="39">
        <f t="shared" si="1"/>
        <v>244500</v>
      </c>
      <c r="M4" s="39">
        <f t="shared" si="1"/>
        <v>252750</v>
      </c>
      <c r="N4" s="39">
        <f t="shared" si="1"/>
        <v>261000</v>
      </c>
      <c r="O4" s="39">
        <f t="shared" ref="O4" si="2">SUM(O6:O41)+($G$17*12*3*O3)</f>
        <v>263025</v>
      </c>
      <c r="P4" s="39">
        <f t="shared" ref="P4" si="3">SUM(P6:P41)+($G$17*12*3*P3)</f>
        <v>265050</v>
      </c>
      <c r="Q4" s="39">
        <f t="shared" ref="Q4" si="4">SUM(Q6:Q41)+($G$17*12*3*Q3)</f>
        <v>267075</v>
      </c>
      <c r="R4" s="39">
        <f t="shared" ref="R4" si="5">SUM(R6:R41)+($G$17*12*3*R3)</f>
        <v>269100</v>
      </c>
      <c r="S4" s="39">
        <f t="shared" ref="S4" si="6">SUM(S6:S41)+($G$17*12*3*S3)</f>
        <v>271125</v>
      </c>
      <c r="T4" s="39">
        <f t="shared" ref="T4" si="7">SUM(T6:T41)+($G$17*12*3*T3)</f>
        <v>273150</v>
      </c>
      <c r="U4" s="39">
        <f t="shared" ref="U4" si="8">SUM(U6:U41)+($G$17*12*3*U3)</f>
        <v>275175</v>
      </c>
      <c r="V4" s="39">
        <f t="shared" ref="V4" si="9">SUM(V6:V41)+($G$17*12*3*V3)</f>
        <v>277200</v>
      </c>
      <c r="W4" s="39">
        <f t="shared" ref="W4" si="10">SUM(W6:W41)+($G$17*12*3*W3)</f>
        <v>279225</v>
      </c>
      <c r="X4" s="39">
        <f t="shared" ref="X4" si="11">SUM(X6:X41)+($G$17*12*3*X3)</f>
        <v>281250</v>
      </c>
      <c r="Y4" s="39">
        <f t="shared" ref="Y4" si="12">SUM(Y6:Y41)+($G$17*12*3*Y3)</f>
        <v>283275</v>
      </c>
      <c r="Z4" s="39">
        <f t="shared" ref="Z4" si="13">SUM(Z6:Z41)+($G$17*12*3*Z3)</f>
        <v>285300</v>
      </c>
      <c r="AA4" s="39">
        <f t="shared" ref="AA4" si="14">SUM(AA6:AA41)+($G$17*12*3*AA3)</f>
        <v>287100</v>
      </c>
      <c r="AB4" s="39">
        <f t="shared" ref="AB4" si="15">SUM(AB6:AB41)+($G$17*12*3*AB3)</f>
        <v>288900</v>
      </c>
      <c r="AC4" s="39">
        <f t="shared" ref="AC4" si="16">SUM(AC6:AC41)+($G$17*12*3*AC3)</f>
        <v>290700</v>
      </c>
      <c r="AD4" s="39">
        <f t="shared" ref="AD4" si="17">SUM(AD6:AD41)+($G$17*12*3*AD3)</f>
        <v>292500</v>
      </c>
      <c r="AE4" s="39">
        <f t="shared" ref="AE4" si="18">SUM(AE6:AE41)+($G$17*12*3*AE3)</f>
        <v>294300</v>
      </c>
      <c r="AF4" s="39">
        <f t="shared" ref="AF4" si="19">SUM(AF6:AF41)+($G$17*12*3*AF3)</f>
        <v>296100</v>
      </c>
      <c r="AG4" s="39">
        <f t="shared" ref="AG4" si="20">SUM(AG6:AG41)+($G$17*12*3*AG3)</f>
        <v>297900</v>
      </c>
      <c r="AH4" s="39">
        <f t="shared" ref="AH4" si="21">SUM(AH6:AH41)+($G$17*12*3*AH3)</f>
        <v>299700</v>
      </c>
      <c r="AI4" s="39">
        <f t="shared" ref="AI4" si="22">SUM(AI6:AI41)+($G$17*12*3*AI3)</f>
        <v>301500</v>
      </c>
      <c r="AJ4" s="39">
        <f t="shared" ref="AJ4" si="23">SUM(AJ6:AJ41)+($G$17*12*3*AJ3)</f>
        <v>303300</v>
      </c>
      <c r="AK4" s="39">
        <f t="shared" ref="AK4" si="24">SUM(AK6:AK41)+($G$17*12*3*AK3)</f>
        <v>305100</v>
      </c>
      <c r="AL4" s="39">
        <f t="shared" ref="AL4" si="25">SUM(AL6:AL41)+($G$17*12*3*AL3)</f>
        <v>306900</v>
      </c>
    </row>
    <row r="5" spans="1:73" s="23" customFormat="1" ht="15.75" customHeight="1" thickBot="1" x14ac:dyDescent="0.25">
      <c r="A5" s="47"/>
      <c r="B5" s="48"/>
      <c r="C5" s="40" t="s">
        <v>0</v>
      </c>
      <c r="D5" s="40" t="s">
        <v>1</v>
      </c>
      <c r="E5" s="40" t="s">
        <v>2</v>
      </c>
      <c r="F5" s="40" t="s">
        <v>3</v>
      </c>
      <c r="G5" s="40" t="s">
        <v>4</v>
      </c>
      <c r="H5" s="40" t="s">
        <v>5</v>
      </c>
      <c r="I5" s="40" t="s">
        <v>6</v>
      </c>
      <c r="J5" s="40" t="s">
        <v>7</v>
      </c>
      <c r="K5" s="40" t="s">
        <v>8</v>
      </c>
      <c r="L5" s="40" t="s">
        <v>9</v>
      </c>
      <c r="M5" s="40" t="s">
        <v>10</v>
      </c>
      <c r="N5" s="40" t="s">
        <v>11</v>
      </c>
      <c r="O5" s="41" t="s">
        <v>0</v>
      </c>
      <c r="P5" s="41" t="s">
        <v>1</v>
      </c>
      <c r="Q5" s="41" t="s">
        <v>2</v>
      </c>
      <c r="R5" s="41" t="s">
        <v>3</v>
      </c>
      <c r="S5" s="41" t="s">
        <v>4</v>
      </c>
      <c r="T5" s="41" t="s">
        <v>5</v>
      </c>
      <c r="U5" s="41" t="s">
        <v>6</v>
      </c>
      <c r="V5" s="41" t="s">
        <v>7</v>
      </c>
      <c r="W5" s="41" t="s">
        <v>8</v>
      </c>
      <c r="X5" s="41" t="s">
        <v>9</v>
      </c>
      <c r="Y5" s="41" t="s">
        <v>10</v>
      </c>
      <c r="Z5" s="41" t="s">
        <v>11</v>
      </c>
      <c r="AA5" s="42" t="s">
        <v>0</v>
      </c>
      <c r="AB5" s="42" t="s">
        <v>1</v>
      </c>
      <c r="AC5" s="42" t="s">
        <v>2</v>
      </c>
      <c r="AD5" s="42" t="s">
        <v>3</v>
      </c>
      <c r="AE5" s="42" t="s">
        <v>4</v>
      </c>
      <c r="AF5" s="42" t="s">
        <v>5</v>
      </c>
      <c r="AG5" s="42" t="s">
        <v>6</v>
      </c>
      <c r="AH5" s="42" t="s">
        <v>7</v>
      </c>
      <c r="AI5" s="42" t="s">
        <v>8</v>
      </c>
      <c r="AJ5" s="42" t="s">
        <v>9</v>
      </c>
      <c r="AK5" s="42" t="s">
        <v>10</v>
      </c>
      <c r="AL5" s="54" t="s">
        <v>11</v>
      </c>
    </row>
    <row r="6" spans="1:73" x14ac:dyDescent="0.2">
      <c r="A6" s="57" t="s">
        <v>12</v>
      </c>
      <c r="B6" s="24" t="s">
        <v>0</v>
      </c>
      <c r="C6" s="5">
        <f t="shared" ref="C6:N6" si="26">$G$17*$E$1*$H$1</f>
        <v>8250</v>
      </c>
      <c r="D6" s="5">
        <f t="shared" si="26"/>
        <v>8250</v>
      </c>
      <c r="E6" s="5">
        <f t="shared" si="26"/>
        <v>8250</v>
      </c>
      <c r="F6" s="5">
        <f t="shared" si="26"/>
        <v>8250</v>
      </c>
      <c r="G6" s="5">
        <f t="shared" si="26"/>
        <v>8250</v>
      </c>
      <c r="H6" s="5">
        <f t="shared" si="26"/>
        <v>8250</v>
      </c>
      <c r="I6" s="5">
        <f t="shared" si="26"/>
        <v>8250</v>
      </c>
      <c r="J6" s="5">
        <f t="shared" si="26"/>
        <v>8250</v>
      </c>
      <c r="K6" s="5">
        <f t="shared" si="26"/>
        <v>8250</v>
      </c>
      <c r="L6" s="5">
        <f t="shared" si="26"/>
        <v>8250</v>
      </c>
      <c r="M6" s="5">
        <f t="shared" si="26"/>
        <v>8250</v>
      </c>
      <c r="N6" s="5">
        <f t="shared" si="26"/>
        <v>8250</v>
      </c>
      <c r="O6" s="6">
        <f t="shared" ref="O6:Z6" si="27">$G$17*$Q$1*$T$1</f>
        <v>2025</v>
      </c>
      <c r="P6" s="6">
        <f t="shared" si="27"/>
        <v>2025</v>
      </c>
      <c r="Q6" s="6">
        <f t="shared" si="27"/>
        <v>2025</v>
      </c>
      <c r="R6" s="6">
        <f t="shared" si="27"/>
        <v>2025</v>
      </c>
      <c r="S6" s="6">
        <f t="shared" si="27"/>
        <v>2025</v>
      </c>
      <c r="T6" s="6">
        <f t="shared" si="27"/>
        <v>2025</v>
      </c>
      <c r="U6" s="6">
        <f t="shared" si="27"/>
        <v>2025</v>
      </c>
      <c r="V6" s="6">
        <f t="shared" si="27"/>
        <v>2025</v>
      </c>
      <c r="W6" s="6">
        <f t="shared" si="27"/>
        <v>2025</v>
      </c>
      <c r="X6" s="6">
        <f t="shared" si="27"/>
        <v>2025</v>
      </c>
      <c r="Y6" s="6">
        <f t="shared" si="27"/>
        <v>2025</v>
      </c>
      <c r="Z6" s="6">
        <f t="shared" si="27"/>
        <v>2025</v>
      </c>
      <c r="AA6" s="7">
        <f t="shared" ref="AA6:AL6" si="28">$G$17*$AC$1*$AF$1</f>
        <v>1800</v>
      </c>
      <c r="AB6" s="7">
        <f t="shared" si="28"/>
        <v>1800</v>
      </c>
      <c r="AC6" s="7">
        <f t="shared" si="28"/>
        <v>1800</v>
      </c>
      <c r="AD6" s="7">
        <f t="shared" si="28"/>
        <v>1800</v>
      </c>
      <c r="AE6" s="7">
        <f t="shared" si="28"/>
        <v>1800</v>
      </c>
      <c r="AF6" s="7">
        <f t="shared" si="28"/>
        <v>1800</v>
      </c>
      <c r="AG6" s="7">
        <f t="shared" si="28"/>
        <v>1800</v>
      </c>
      <c r="AH6" s="7">
        <f t="shared" si="28"/>
        <v>1800</v>
      </c>
      <c r="AI6" s="7">
        <f t="shared" si="28"/>
        <v>1800</v>
      </c>
      <c r="AJ6" s="7">
        <f t="shared" si="28"/>
        <v>1800</v>
      </c>
      <c r="AK6" s="7">
        <f t="shared" si="28"/>
        <v>1800</v>
      </c>
      <c r="AL6" s="7">
        <f t="shared" si="28"/>
        <v>1800</v>
      </c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8"/>
    </row>
    <row r="7" spans="1:73" x14ac:dyDescent="0.2">
      <c r="A7" s="58"/>
      <c r="B7" s="25" t="s">
        <v>1</v>
      </c>
      <c r="C7" s="10"/>
      <c r="D7" s="10">
        <f t="shared" ref="D7:O7" si="29">$G$17*$E$1*$H$1</f>
        <v>8250</v>
      </c>
      <c r="E7" s="10">
        <f t="shared" si="29"/>
        <v>8250</v>
      </c>
      <c r="F7" s="10">
        <f t="shared" si="29"/>
        <v>8250</v>
      </c>
      <c r="G7" s="10">
        <f t="shared" si="29"/>
        <v>8250</v>
      </c>
      <c r="H7" s="10">
        <f t="shared" si="29"/>
        <v>8250</v>
      </c>
      <c r="I7" s="10">
        <f t="shared" si="29"/>
        <v>8250</v>
      </c>
      <c r="J7" s="10">
        <f t="shared" si="29"/>
        <v>8250</v>
      </c>
      <c r="K7" s="10">
        <f t="shared" si="29"/>
        <v>8250</v>
      </c>
      <c r="L7" s="10">
        <f t="shared" si="29"/>
        <v>8250</v>
      </c>
      <c r="M7" s="10">
        <f t="shared" si="29"/>
        <v>8250</v>
      </c>
      <c r="N7" s="10">
        <f t="shared" si="29"/>
        <v>8250</v>
      </c>
      <c r="O7" s="10">
        <f t="shared" si="29"/>
        <v>8250</v>
      </c>
      <c r="P7" s="11">
        <f t="shared" ref="P7:AA7" si="30">$G$17*$Q$1*$T$1</f>
        <v>2025</v>
      </c>
      <c r="Q7" s="11">
        <f t="shared" si="30"/>
        <v>2025</v>
      </c>
      <c r="R7" s="11">
        <f t="shared" si="30"/>
        <v>2025</v>
      </c>
      <c r="S7" s="11">
        <f t="shared" si="30"/>
        <v>2025</v>
      </c>
      <c r="T7" s="11">
        <f t="shared" si="30"/>
        <v>2025</v>
      </c>
      <c r="U7" s="11">
        <f t="shared" si="30"/>
        <v>2025</v>
      </c>
      <c r="V7" s="11">
        <f t="shared" si="30"/>
        <v>2025</v>
      </c>
      <c r="W7" s="11">
        <f t="shared" si="30"/>
        <v>2025</v>
      </c>
      <c r="X7" s="11">
        <f t="shared" si="30"/>
        <v>2025</v>
      </c>
      <c r="Y7" s="11">
        <f t="shared" si="30"/>
        <v>2025</v>
      </c>
      <c r="Z7" s="11">
        <f t="shared" si="30"/>
        <v>2025</v>
      </c>
      <c r="AA7" s="11">
        <f t="shared" si="30"/>
        <v>2025</v>
      </c>
      <c r="AB7" s="12">
        <f t="shared" ref="AB7:AM7" si="31">$G$17*$AC$1*$AF$1</f>
        <v>1800</v>
      </c>
      <c r="AC7" s="12">
        <f t="shared" si="31"/>
        <v>1800</v>
      </c>
      <c r="AD7" s="12">
        <f t="shared" si="31"/>
        <v>1800</v>
      </c>
      <c r="AE7" s="12">
        <f t="shared" si="31"/>
        <v>1800</v>
      </c>
      <c r="AF7" s="12">
        <f t="shared" si="31"/>
        <v>1800</v>
      </c>
      <c r="AG7" s="12">
        <f t="shared" si="31"/>
        <v>1800</v>
      </c>
      <c r="AH7" s="12">
        <f t="shared" si="31"/>
        <v>1800</v>
      </c>
      <c r="AI7" s="12">
        <f t="shared" si="31"/>
        <v>1800</v>
      </c>
      <c r="AJ7" s="12">
        <f t="shared" si="31"/>
        <v>1800</v>
      </c>
      <c r="AK7" s="12">
        <f t="shared" si="31"/>
        <v>1800</v>
      </c>
      <c r="AL7" s="12">
        <f t="shared" si="31"/>
        <v>1800</v>
      </c>
      <c r="AM7" s="12">
        <f t="shared" si="31"/>
        <v>1800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13"/>
    </row>
    <row r="8" spans="1:73" x14ac:dyDescent="0.2">
      <c r="A8" s="58"/>
      <c r="B8" s="25" t="s">
        <v>2</v>
      </c>
      <c r="C8" s="10"/>
      <c r="D8" s="10"/>
      <c r="E8" s="10">
        <f t="shared" ref="E8:P8" si="32">$G$17*$E$1*$H$1</f>
        <v>8250</v>
      </c>
      <c r="F8" s="10">
        <f t="shared" si="32"/>
        <v>8250</v>
      </c>
      <c r="G8" s="10">
        <f t="shared" si="32"/>
        <v>8250</v>
      </c>
      <c r="H8" s="10">
        <f t="shared" si="32"/>
        <v>8250</v>
      </c>
      <c r="I8" s="10">
        <f t="shared" si="32"/>
        <v>8250</v>
      </c>
      <c r="J8" s="10">
        <f t="shared" si="32"/>
        <v>8250</v>
      </c>
      <c r="K8" s="10">
        <f t="shared" si="32"/>
        <v>8250</v>
      </c>
      <c r="L8" s="10">
        <f t="shared" si="32"/>
        <v>8250</v>
      </c>
      <c r="M8" s="10">
        <f t="shared" si="32"/>
        <v>8250</v>
      </c>
      <c r="N8" s="10">
        <f t="shared" si="32"/>
        <v>8250</v>
      </c>
      <c r="O8" s="10">
        <f t="shared" si="32"/>
        <v>8250</v>
      </c>
      <c r="P8" s="10">
        <f t="shared" si="32"/>
        <v>8250</v>
      </c>
      <c r="Q8" s="11">
        <f t="shared" ref="Q8:AB8" si="33">$G$17*$Q$1*$T$1</f>
        <v>2025</v>
      </c>
      <c r="R8" s="11">
        <f t="shared" si="33"/>
        <v>2025</v>
      </c>
      <c r="S8" s="11">
        <f t="shared" si="33"/>
        <v>2025</v>
      </c>
      <c r="T8" s="11">
        <f t="shared" si="33"/>
        <v>2025</v>
      </c>
      <c r="U8" s="11">
        <f t="shared" si="33"/>
        <v>2025</v>
      </c>
      <c r="V8" s="11">
        <f t="shared" si="33"/>
        <v>2025</v>
      </c>
      <c r="W8" s="11">
        <f t="shared" si="33"/>
        <v>2025</v>
      </c>
      <c r="X8" s="11">
        <f t="shared" si="33"/>
        <v>2025</v>
      </c>
      <c r="Y8" s="11">
        <f t="shared" si="33"/>
        <v>2025</v>
      </c>
      <c r="Z8" s="11">
        <f t="shared" si="33"/>
        <v>2025</v>
      </c>
      <c r="AA8" s="11">
        <f t="shared" si="33"/>
        <v>2025</v>
      </c>
      <c r="AB8" s="11">
        <f t="shared" si="33"/>
        <v>2025</v>
      </c>
      <c r="AC8" s="12">
        <f t="shared" ref="AC8:AN8" si="34">$G$17*$AC$1*$AF$1</f>
        <v>1800</v>
      </c>
      <c r="AD8" s="12">
        <f t="shared" si="34"/>
        <v>1800</v>
      </c>
      <c r="AE8" s="12">
        <f t="shared" si="34"/>
        <v>1800</v>
      </c>
      <c r="AF8" s="12">
        <f t="shared" si="34"/>
        <v>1800</v>
      </c>
      <c r="AG8" s="12">
        <f t="shared" si="34"/>
        <v>1800</v>
      </c>
      <c r="AH8" s="12">
        <f t="shared" si="34"/>
        <v>1800</v>
      </c>
      <c r="AI8" s="12">
        <f t="shared" si="34"/>
        <v>1800</v>
      </c>
      <c r="AJ8" s="12">
        <f t="shared" si="34"/>
        <v>1800</v>
      </c>
      <c r="AK8" s="12">
        <f t="shared" si="34"/>
        <v>1800</v>
      </c>
      <c r="AL8" s="12">
        <f t="shared" si="34"/>
        <v>1800</v>
      </c>
      <c r="AM8" s="12">
        <f t="shared" si="34"/>
        <v>1800</v>
      </c>
      <c r="AN8" s="12">
        <f t="shared" si="34"/>
        <v>1800</v>
      </c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13"/>
    </row>
    <row r="9" spans="1:73" x14ac:dyDescent="0.2">
      <c r="A9" s="58"/>
      <c r="B9" s="25" t="s">
        <v>3</v>
      </c>
      <c r="C9" s="10"/>
      <c r="D9" s="10"/>
      <c r="E9" s="10"/>
      <c r="F9" s="10">
        <f t="shared" ref="F9:Q9" si="35">$G$17*$E$1*$H$1</f>
        <v>8250</v>
      </c>
      <c r="G9" s="10">
        <f t="shared" si="35"/>
        <v>8250</v>
      </c>
      <c r="H9" s="10">
        <f t="shared" si="35"/>
        <v>8250</v>
      </c>
      <c r="I9" s="10">
        <f t="shared" si="35"/>
        <v>8250</v>
      </c>
      <c r="J9" s="10">
        <f t="shared" si="35"/>
        <v>8250</v>
      </c>
      <c r="K9" s="10">
        <f t="shared" si="35"/>
        <v>8250</v>
      </c>
      <c r="L9" s="10">
        <f t="shared" si="35"/>
        <v>8250</v>
      </c>
      <c r="M9" s="10">
        <f t="shared" si="35"/>
        <v>8250</v>
      </c>
      <c r="N9" s="10">
        <f t="shared" si="35"/>
        <v>8250</v>
      </c>
      <c r="O9" s="10">
        <f t="shared" si="35"/>
        <v>8250</v>
      </c>
      <c r="P9" s="10">
        <f t="shared" si="35"/>
        <v>8250</v>
      </c>
      <c r="Q9" s="10">
        <f t="shared" si="35"/>
        <v>8250</v>
      </c>
      <c r="R9" s="11">
        <f t="shared" ref="R9:AC9" si="36">$G$17*$Q$1*$T$1</f>
        <v>2025</v>
      </c>
      <c r="S9" s="11">
        <f t="shared" si="36"/>
        <v>2025</v>
      </c>
      <c r="T9" s="11">
        <f t="shared" si="36"/>
        <v>2025</v>
      </c>
      <c r="U9" s="11">
        <f t="shared" si="36"/>
        <v>2025</v>
      </c>
      <c r="V9" s="11">
        <f t="shared" si="36"/>
        <v>2025</v>
      </c>
      <c r="W9" s="11">
        <f t="shared" si="36"/>
        <v>2025</v>
      </c>
      <c r="X9" s="11">
        <f t="shared" si="36"/>
        <v>2025</v>
      </c>
      <c r="Y9" s="11">
        <f t="shared" si="36"/>
        <v>2025</v>
      </c>
      <c r="Z9" s="11">
        <f t="shared" si="36"/>
        <v>2025</v>
      </c>
      <c r="AA9" s="11">
        <f t="shared" si="36"/>
        <v>2025</v>
      </c>
      <c r="AB9" s="11">
        <f t="shared" si="36"/>
        <v>2025</v>
      </c>
      <c r="AC9" s="11">
        <f t="shared" si="36"/>
        <v>2025</v>
      </c>
      <c r="AD9" s="12">
        <f t="shared" ref="AD9:AO9" si="37">$G$17*$AC$1*$AF$1</f>
        <v>1800</v>
      </c>
      <c r="AE9" s="12">
        <f t="shared" si="37"/>
        <v>1800</v>
      </c>
      <c r="AF9" s="12">
        <f t="shared" si="37"/>
        <v>1800</v>
      </c>
      <c r="AG9" s="12">
        <f t="shared" si="37"/>
        <v>1800</v>
      </c>
      <c r="AH9" s="12">
        <f t="shared" si="37"/>
        <v>1800</v>
      </c>
      <c r="AI9" s="12">
        <f t="shared" si="37"/>
        <v>1800</v>
      </c>
      <c r="AJ9" s="12">
        <f t="shared" si="37"/>
        <v>1800</v>
      </c>
      <c r="AK9" s="12">
        <f t="shared" si="37"/>
        <v>1800</v>
      </c>
      <c r="AL9" s="12">
        <f t="shared" si="37"/>
        <v>1800</v>
      </c>
      <c r="AM9" s="12">
        <f t="shared" si="37"/>
        <v>1800</v>
      </c>
      <c r="AN9" s="12">
        <f t="shared" si="37"/>
        <v>1800</v>
      </c>
      <c r="AO9" s="12">
        <f t="shared" si="37"/>
        <v>1800</v>
      </c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13"/>
    </row>
    <row r="10" spans="1:73" x14ac:dyDescent="0.2">
      <c r="A10" s="58"/>
      <c r="B10" s="25" t="s">
        <v>4</v>
      </c>
      <c r="C10" s="10"/>
      <c r="D10" s="10"/>
      <c r="E10" s="10"/>
      <c r="F10" s="10"/>
      <c r="G10" s="10">
        <f t="shared" ref="G10:R10" si="38">$G$17*$E$1*$H$1</f>
        <v>8250</v>
      </c>
      <c r="H10" s="10">
        <f t="shared" si="38"/>
        <v>8250</v>
      </c>
      <c r="I10" s="10">
        <f t="shared" si="38"/>
        <v>8250</v>
      </c>
      <c r="J10" s="10">
        <f t="shared" si="38"/>
        <v>8250</v>
      </c>
      <c r="K10" s="10">
        <f t="shared" si="38"/>
        <v>8250</v>
      </c>
      <c r="L10" s="10">
        <f t="shared" si="38"/>
        <v>8250</v>
      </c>
      <c r="M10" s="10">
        <f t="shared" si="38"/>
        <v>8250</v>
      </c>
      <c r="N10" s="10">
        <f t="shared" si="38"/>
        <v>8250</v>
      </c>
      <c r="O10" s="10">
        <f t="shared" si="38"/>
        <v>8250</v>
      </c>
      <c r="P10" s="10">
        <f t="shared" si="38"/>
        <v>8250</v>
      </c>
      <c r="Q10" s="10">
        <f t="shared" si="38"/>
        <v>8250</v>
      </c>
      <c r="R10" s="10">
        <f t="shared" si="38"/>
        <v>8250</v>
      </c>
      <c r="S10" s="11">
        <f t="shared" ref="S10:AD10" si="39">$G$17*$Q$1*$T$1</f>
        <v>2025</v>
      </c>
      <c r="T10" s="11">
        <f t="shared" si="39"/>
        <v>2025</v>
      </c>
      <c r="U10" s="11">
        <f t="shared" si="39"/>
        <v>2025</v>
      </c>
      <c r="V10" s="11">
        <f t="shared" si="39"/>
        <v>2025</v>
      </c>
      <c r="W10" s="11">
        <f t="shared" si="39"/>
        <v>2025</v>
      </c>
      <c r="X10" s="11">
        <f t="shared" si="39"/>
        <v>2025</v>
      </c>
      <c r="Y10" s="11">
        <f t="shared" si="39"/>
        <v>2025</v>
      </c>
      <c r="Z10" s="11">
        <f t="shared" si="39"/>
        <v>2025</v>
      </c>
      <c r="AA10" s="11">
        <f t="shared" si="39"/>
        <v>2025</v>
      </c>
      <c r="AB10" s="11">
        <f t="shared" si="39"/>
        <v>2025</v>
      </c>
      <c r="AC10" s="11">
        <f t="shared" si="39"/>
        <v>2025</v>
      </c>
      <c r="AD10" s="11">
        <f t="shared" si="39"/>
        <v>2025</v>
      </c>
      <c r="AE10" s="12">
        <f t="shared" ref="AE10:AP10" si="40">$G$17*$AC$1*$AF$1</f>
        <v>1800</v>
      </c>
      <c r="AF10" s="12">
        <f t="shared" si="40"/>
        <v>1800</v>
      </c>
      <c r="AG10" s="12">
        <f t="shared" si="40"/>
        <v>1800</v>
      </c>
      <c r="AH10" s="12">
        <f t="shared" si="40"/>
        <v>1800</v>
      </c>
      <c r="AI10" s="12">
        <f t="shared" si="40"/>
        <v>1800</v>
      </c>
      <c r="AJ10" s="12">
        <f t="shared" si="40"/>
        <v>1800</v>
      </c>
      <c r="AK10" s="12">
        <f t="shared" si="40"/>
        <v>1800</v>
      </c>
      <c r="AL10" s="12">
        <f t="shared" si="40"/>
        <v>1800</v>
      </c>
      <c r="AM10" s="12">
        <f t="shared" si="40"/>
        <v>1800</v>
      </c>
      <c r="AN10" s="12">
        <f t="shared" si="40"/>
        <v>1800</v>
      </c>
      <c r="AO10" s="12">
        <f t="shared" si="40"/>
        <v>1800</v>
      </c>
      <c r="AP10" s="12">
        <f t="shared" si="40"/>
        <v>1800</v>
      </c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13"/>
    </row>
    <row r="11" spans="1:73" x14ac:dyDescent="0.2">
      <c r="A11" s="58"/>
      <c r="B11" s="25" t="s">
        <v>5</v>
      </c>
      <c r="C11" s="10"/>
      <c r="D11" s="10"/>
      <c r="E11" s="10"/>
      <c r="F11" s="10"/>
      <c r="G11" s="10"/>
      <c r="H11" s="10">
        <f t="shared" ref="H11:S11" si="41">$G$17*$E$1*$H$1</f>
        <v>8250</v>
      </c>
      <c r="I11" s="10">
        <f t="shared" si="41"/>
        <v>8250</v>
      </c>
      <c r="J11" s="10">
        <f t="shared" si="41"/>
        <v>8250</v>
      </c>
      <c r="K11" s="10">
        <f t="shared" si="41"/>
        <v>8250</v>
      </c>
      <c r="L11" s="10">
        <f t="shared" si="41"/>
        <v>8250</v>
      </c>
      <c r="M11" s="10">
        <f t="shared" si="41"/>
        <v>8250</v>
      </c>
      <c r="N11" s="10">
        <f t="shared" si="41"/>
        <v>8250</v>
      </c>
      <c r="O11" s="10">
        <f t="shared" si="41"/>
        <v>8250</v>
      </c>
      <c r="P11" s="10">
        <f t="shared" si="41"/>
        <v>8250</v>
      </c>
      <c r="Q11" s="10">
        <f t="shared" si="41"/>
        <v>8250</v>
      </c>
      <c r="R11" s="10">
        <f t="shared" si="41"/>
        <v>8250</v>
      </c>
      <c r="S11" s="10">
        <f t="shared" si="41"/>
        <v>8250</v>
      </c>
      <c r="T11" s="11">
        <f t="shared" ref="T11:AE11" si="42">$G$17*$Q$1*$T$1</f>
        <v>2025</v>
      </c>
      <c r="U11" s="11">
        <f t="shared" si="42"/>
        <v>2025</v>
      </c>
      <c r="V11" s="11">
        <f t="shared" si="42"/>
        <v>2025</v>
      </c>
      <c r="W11" s="11">
        <f t="shared" si="42"/>
        <v>2025</v>
      </c>
      <c r="X11" s="11">
        <f t="shared" si="42"/>
        <v>2025</v>
      </c>
      <c r="Y11" s="11">
        <f t="shared" si="42"/>
        <v>2025</v>
      </c>
      <c r="Z11" s="11">
        <f t="shared" si="42"/>
        <v>2025</v>
      </c>
      <c r="AA11" s="11">
        <f t="shared" si="42"/>
        <v>2025</v>
      </c>
      <c r="AB11" s="11">
        <f t="shared" si="42"/>
        <v>2025</v>
      </c>
      <c r="AC11" s="11">
        <f t="shared" si="42"/>
        <v>2025</v>
      </c>
      <c r="AD11" s="11">
        <f t="shared" si="42"/>
        <v>2025</v>
      </c>
      <c r="AE11" s="11">
        <f t="shared" si="42"/>
        <v>2025</v>
      </c>
      <c r="AF11" s="12">
        <f t="shared" ref="AF11:AQ11" si="43">$G$17*$AC$1*$AF$1</f>
        <v>1800</v>
      </c>
      <c r="AG11" s="12">
        <f t="shared" si="43"/>
        <v>1800</v>
      </c>
      <c r="AH11" s="12">
        <f t="shared" si="43"/>
        <v>1800</v>
      </c>
      <c r="AI11" s="12">
        <f t="shared" si="43"/>
        <v>1800</v>
      </c>
      <c r="AJ11" s="12">
        <f t="shared" si="43"/>
        <v>1800</v>
      </c>
      <c r="AK11" s="12">
        <f t="shared" si="43"/>
        <v>1800</v>
      </c>
      <c r="AL11" s="12">
        <f t="shared" si="43"/>
        <v>1800</v>
      </c>
      <c r="AM11" s="12">
        <f t="shared" si="43"/>
        <v>1800</v>
      </c>
      <c r="AN11" s="12">
        <f t="shared" si="43"/>
        <v>1800</v>
      </c>
      <c r="AO11" s="12">
        <f t="shared" si="43"/>
        <v>1800</v>
      </c>
      <c r="AP11" s="12">
        <f t="shared" si="43"/>
        <v>1800</v>
      </c>
      <c r="AQ11" s="12">
        <f t="shared" si="43"/>
        <v>1800</v>
      </c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13"/>
    </row>
    <row r="12" spans="1:73" x14ac:dyDescent="0.2">
      <c r="A12" s="58"/>
      <c r="B12" s="25" t="s">
        <v>6</v>
      </c>
      <c r="C12" s="10"/>
      <c r="D12" s="10"/>
      <c r="E12" s="10"/>
      <c r="F12" s="10"/>
      <c r="G12" s="10"/>
      <c r="H12" s="10"/>
      <c r="I12" s="10">
        <f t="shared" ref="I12:T12" si="44">$G$17*$E$1*$H$1</f>
        <v>8250</v>
      </c>
      <c r="J12" s="10">
        <f t="shared" si="44"/>
        <v>8250</v>
      </c>
      <c r="K12" s="10">
        <f t="shared" si="44"/>
        <v>8250</v>
      </c>
      <c r="L12" s="10">
        <f t="shared" si="44"/>
        <v>8250</v>
      </c>
      <c r="M12" s="10">
        <f t="shared" si="44"/>
        <v>8250</v>
      </c>
      <c r="N12" s="10">
        <f t="shared" si="44"/>
        <v>8250</v>
      </c>
      <c r="O12" s="10">
        <f t="shared" si="44"/>
        <v>8250</v>
      </c>
      <c r="P12" s="10">
        <f t="shared" si="44"/>
        <v>8250</v>
      </c>
      <c r="Q12" s="10">
        <f t="shared" si="44"/>
        <v>8250</v>
      </c>
      <c r="R12" s="10">
        <f t="shared" si="44"/>
        <v>8250</v>
      </c>
      <c r="S12" s="10">
        <f t="shared" si="44"/>
        <v>8250</v>
      </c>
      <c r="T12" s="10">
        <f t="shared" si="44"/>
        <v>8250</v>
      </c>
      <c r="U12" s="11">
        <f t="shared" ref="U12:AF12" si="45">$G$17*$Q$1*$T$1</f>
        <v>2025</v>
      </c>
      <c r="V12" s="11">
        <f t="shared" si="45"/>
        <v>2025</v>
      </c>
      <c r="W12" s="11">
        <f t="shared" si="45"/>
        <v>2025</v>
      </c>
      <c r="X12" s="11">
        <f t="shared" si="45"/>
        <v>2025</v>
      </c>
      <c r="Y12" s="11">
        <f t="shared" si="45"/>
        <v>2025</v>
      </c>
      <c r="Z12" s="11">
        <f t="shared" si="45"/>
        <v>2025</v>
      </c>
      <c r="AA12" s="11">
        <f t="shared" si="45"/>
        <v>2025</v>
      </c>
      <c r="AB12" s="11">
        <f t="shared" si="45"/>
        <v>2025</v>
      </c>
      <c r="AC12" s="11">
        <f t="shared" si="45"/>
        <v>2025</v>
      </c>
      <c r="AD12" s="11">
        <f t="shared" si="45"/>
        <v>2025</v>
      </c>
      <c r="AE12" s="11">
        <f t="shared" si="45"/>
        <v>2025</v>
      </c>
      <c r="AF12" s="11">
        <f t="shared" si="45"/>
        <v>2025</v>
      </c>
      <c r="AG12" s="12">
        <f t="shared" ref="AG12:AR12" si="46">$G$17*$AC$1*$AF$1</f>
        <v>1800</v>
      </c>
      <c r="AH12" s="12">
        <f t="shared" si="46"/>
        <v>1800</v>
      </c>
      <c r="AI12" s="12">
        <f t="shared" si="46"/>
        <v>1800</v>
      </c>
      <c r="AJ12" s="12">
        <f t="shared" si="46"/>
        <v>1800</v>
      </c>
      <c r="AK12" s="12">
        <f t="shared" si="46"/>
        <v>1800</v>
      </c>
      <c r="AL12" s="12">
        <f t="shared" si="46"/>
        <v>1800</v>
      </c>
      <c r="AM12" s="12">
        <f t="shared" si="46"/>
        <v>1800</v>
      </c>
      <c r="AN12" s="12">
        <f t="shared" si="46"/>
        <v>1800</v>
      </c>
      <c r="AO12" s="12">
        <f t="shared" si="46"/>
        <v>1800</v>
      </c>
      <c r="AP12" s="12">
        <f t="shared" si="46"/>
        <v>1800</v>
      </c>
      <c r="AQ12" s="12">
        <f t="shared" si="46"/>
        <v>1800</v>
      </c>
      <c r="AR12" s="12">
        <f t="shared" si="46"/>
        <v>1800</v>
      </c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13"/>
    </row>
    <row r="13" spans="1:73" x14ac:dyDescent="0.2">
      <c r="A13" s="58"/>
      <c r="B13" s="25" t="s">
        <v>7</v>
      </c>
      <c r="C13" s="10"/>
      <c r="D13" s="10"/>
      <c r="E13" s="10"/>
      <c r="F13" s="10"/>
      <c r="G13" s="10"/>
      <c r="H13" s="10"/>
      <c r="I13" s="10"/>
      <c r="J13" s="10">
        <f t="shared" ref="J13:U13" si="47">$G$17*$E$1*$H$1</f>
        <v>8250</v>
      </c>
      <c r="K13" s="10">
        <f t="shared" si="47"/>
        <v>8250</v>
      </c>
      <c r="L13" s="10">
        <f t="shared" si="47"/>
        <v>8250</v>
      </c>
      <c r="M13" s="10">
        <f t="shared" si="47"/>
        <v>8250</v>
      </c>
      <c r="N13" s="10">
        <f t="shared" si="47"/>
        <v>8250</v>
      </c>
      <c r="O13" s="10">
        <f t="shared" si="47"/>
        <v>8250</v>
      </c>
      <c r="P13" s="10">
        <f t="shared" si="47"/>
        <v>8250</v>
      </c>
      <c r="Q13" s="10">
        <f t="shared" si="47"/>
        <v>8250</v>
      </c>
      <c r="R13" s="10">
        <f t="shared" si="47"/>
        <v>8250</v>
      </c>
      <c r="S13" s="10">
        <f t="shared" si="47"/>
        <v>8250</v>
      </c>
      <c r="T13" s="10">
        <f t="shared" si="47"/>
        <v>8250</v>
      </c>
      <c r="U13" s="10">
        <f t="shared" si="47"/>
        <v>8250</v>
      </c>
      <c r="V13" s="11">
        <f t="shared" ref="V13:AG13" si="48">$G$17*$Q$1*$T$1</f>
        <v>2025</v>
      </c>
      <c r="W13" s="11">
        <f t="shared" si="48"/>
        <v>2025</v>
      </c>
      <c r="X13" s="11">
        <f t="shared" si="48"/>
        <v>2025</v>
      </c>
      <c r="Y13" s="11">
        <f t="shared" si="48"/>
        <v>2025</v>
      </c>
      <c r="Z13" s="11">
        <f t="shared" si="48"/>
        <v>2025</v>
      </c>
      <c r="AA13" s="11">
        <f t="shared" si="48"/>
        <v>2025</v>
      </c>
      <c r="AB13" s="11">
        <f t="shared" si="48"/>
        <v>2025</v>
      </c>
      <c r="AC13" s="11">
        <f t="shared" si="48"/>
        <v>2025</v>
      </c>
      <c r="AD13" s="11">
        <f t="shared" si="48"/>
        <v>2025</v>
      </c>
      <c r="AE13" s="11">
        <f t="shared" si="48"/>
        <v>2025</v>
      </c>
      <c r="AF13" s="11">
        <f t="shared" si="48"/>
        <v>2025</v>
      </c>
      <c r="AG13" s="11">
        <f t="shared" si="48"/>
        <v>2025</v>
      </c>
      <c r="AH13" s="12">
        <f t="shared" ref="AH13:AS13" si="49">$G$17*$AC$1*$AF$1</f>
        <v>1800</v>
      </c>
      <c r="AI13" s="12">
        <f t="shared" si="49"/>
        <v>1800</v>
      </c>
      <c r="AJ13" s="12">
        <f t="shared" si="49"/>
        <v>1800</v>
      </c>
      <c r="AK13" s="12">
        <f t="shared" si="49"/>
        <v>1800</v>
      </c>
      <c r="AL13" s="12">
        <f t="shared" si="49"/>
        <v>1800</v>
      </c>
      <c r="AM13" s="12">
        <f t="shared" si="49"/>
        <v>1800</v>
      </c>
      <c r="AN13" s="12">
        <f t="shared" si="49"/>
        <v>1800</v>
      </c>
      <c r="AO13" s="12">
        <f t="shared" si="49"/>
        <v>1800</v>
      </c>
      <c r="AP13" s="12">
        <f t="shared" si="49"/>
        <v>1800</v>
      </c>
      <c r="AQ13" s="12">
        <f t="shared" si="49"/>
        <v>1800</v>
      </c>
      <c r="AR13" s="12">
        <f t="shared" si="49"/>
        <v>1800</v>
      </c>
      <c r="AS13" s="12">
        <f t="shared" si="49"/>
        <v>1800</v>
      </c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13"/>
    </row>
    <row r="14" spans="1:73" ht="13.5" thickBot="1" x14ac:dyDescent="0.25">
      <c r="A14" s="58"/>
      <c r="B14" s="25" t="s">
        <v>8</v>
      </c>
      <c r="C14" s="10"/>
      <c r="D14" s="10"/>
      <c r="E14" s="10"/>
      <c r="F14" s="10"/>
      <c r="G14" s="10"/>
      <c r="H14" s="10"/>
      <c r="I14" s="10"/>
      <c r="J14" s="10"/>
      <c r="K14" s="10">
        <f t="shared" ref="K14:V14" si="50">$G$17*$E$1*$H$1</f>
        <v>8250</v>
      </c>
      <c r="L14" s="10">
        <f t="shared" si="50"/>
        <v>8250</v>
      </c>
      <c r="M14" s="10">
        <f t="shared" si="50"/>
        <v>8250</v>
      </c>
      <c r="N14" s="10">
        <f t="shared" si="50"/>
        <v>8250</v>
      </c>
      <c r="O14" s="10">
        <f t="shared" si="50"/>
        <v>8250</v>
      </c>
      <c r="P14" s="10">
        <f t="shared" si="50"/>
        <v>8250</v>
      </c>
      <c r="Q14" s="10">
        <f t="shared" si="50"/>
        <v>8250</v>
      </c>
      <c r="R14" s="10">
        <f t="shared" si="50"/>
        <v>8250</v>
      </c>
      <c r="S14" s="10">
        <f t="shared" si="50"/>
        <v>8250</v>
      </c>
      <c r="T14" s="10">
        <f t="shared" si="50"/>
        <v>8250</v>
      </c>
      <c r="U14" s="10">
        <f t="shared" si="50"/>
        <v>8250</v>
      </c>
      <c r="V14" s="10">
        <f t="shared" si="50"/>
        <v>8250</v>
      </c>
      <c r="W14" s="11">
        <f t="shared" ref="W14:AH14" si="51">$G$17*$Q$1*$T$1</f>
        <v>2025</v>
      </c>
      <c r="X14" s="11">
        <f t="shared" si="51"/>
        <v>2025</v>
      </c>
      <c r="Y14" s="11">
        <f t="shared" si="51"/>
        <v>2025</v>
      </c>
      <c r="Z14" s="11">
        <f t="shared" si="51"/>
        <v>2025</v>
      </c>
      <c r="AA14" s="11">
        <f t="shared" si="51"/>
        <v>2025</v>
      </c>
      <c r="AB14" s="11">
        <f t="shared" si="51"/>
        <v>2025</v>
      </c>
      <c r="AC14" s="11">
        <f t="shared" si="51"/>
        <v>2025</v>
      </c>
      <c r="AD14" s="11">
        <f t="shared" si="51"/>
        <v>2025</v>
      </c>
      <c r="AE14" s="11">
        <f t="shared" si="51"/>
        <v>2025</v>
      </c>
      <c r="AF14" s="11">
        <f t="shared" si="51"/>
        <v>2025</v>
      </c>
      <c r="AG14" s="11">
        <f t="shared" si="51"/>
        <v>2025</v>
      </c>
      <c r="AH14" s="11">
        <f t="shared" si="51"/>
        <v>2025</v>
      </c>
      <c r="AI14" s="12">
        <f t="shared" ref="AI14:AT14" si="52">$G$17*$AC$1*$AF$1</f>
        <v>1800</v>
      </c>
      <c r="AJ14" s="12">
        <f t="shared" si="52"/>
        <v>1800</v>
      </c>
      <c r="AK14" s="12">
        <f t="shared" si="52"/>
        <v>1800</v>
      </c>
      <c r="AL14" s="12">
        <f t="shared" si="52"/>
        <v>1800</v>
      </c>
      <c r="AM14" s="12">
        <f t="shared" si="52"/>
        <v>1800</v>
      </c>
      <c r="AN14" s="12">
        <f t="shared" si="52"/>
        <v>1800</v>
      </c>
      <c r="AO14" s="12">
        <f t="shared" si="52"/>
        <v>1800</v>
      </c>
      <c r="AP14" s="12">
        <f t="shared" si="52"/>
        <v>1800</v>
      </c>
      <c r="AQ14" s="12">
        <f t="shared" si="52"/>
        <v>1800</v>
      </c>
      <c r="AR14" s="12">
        <f t="shared" si="52"/>
        <v>1800</v>
      </c>
      <c r="AS14" s="12">
        <f t="shared" si="52"/>
        <v>1800</v>
      </c>
      <c r="AT14" s="12">
        <f t="shared" si="52"/>
        <v>1800</v>
      </c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13"/>
    </row>
    <row r="15" spans="1:73" ht="13.5" thickTop="1" x14ac:dyDescent="0.2">
      <c r="A15" s="58"/>
      <c r="B15" s="25" t="s">
        <v>9</v>
      </c>
      <c r="C15" s="10"/>
      <c r="D15" s="29"/>
      <c r="E15" s="30"/>
      <c r="F15" s="30"/>
      <c r="G15" s="30"/>
      <c r="H15" s="30"/>
      <c r="I15" s="35"/>
      <c r="J15" s="10"/>
      <c r="K15" s="10"/>
      <c r="L15" s="10">
        <f t="shared" ref="L15:W15" si="53">$G$17*$E$1*$H$1</f>
        <v>8250</v>
      </c>
      <c r="M15" s="10">
        <f t="shared" si="53"/>
        <v>8250</v>
      </c>
      <c r="N15" s="10">
        <f t="shared" si="53"/>
        <v>8250</v>
      </c>
      <c r="O15" s="10">
        <f t="shared" si="53"/>
        <v>8250</v>
      </c>
      <c r="P15" s="10">
        <f t="shared" si="53"/>
        <v>8250</v>
      </c>
      <c r="Q15" s="10">
        <f t="shared" si="53"/>
        <v>8250</v>
      </c>
      <c r="R15" s="10">
        <f t="shared" si="53"/>
        <v>8250</v>
      </c>
      <c r="S15" s="10">
        <f t="shared" si="53"/>
        <v>8250</v>
      </c>
      <c r="T15" s="10">
        <f t="shared" si="53"/>
        <v>8250</v>
      </c>
      <c r="U15" s="10">
        <f t="shared" si="53"/>
        <v>8250</v>
      </c>
      <c r="V15" s="10">
        <f t="shared" si="53"/>
        <v>8250</v>
      </c>
      <c r="W15" s="10">
        <f t="shared" si="53"/>
        <v>8250</v>
      </c>
      <c r="X15" s="11">
        <f t="shared" ref="X15:AI15" si="54">$G$17*$Q$1*$T$1</f>
        <v>2025</v>
      </c>
      <c r="Y15" s="11">
        <f t="shared" si="54"/>
        <v>2025</v>
      </c>
      <c r="Z15" s="11">
        <f t="shared" si="54"/>
        <v>2025</v>
      </c>
      <c r="AA15" s="11">
        <f t="shared" si="54"/>
        <v>2025</v>
      </c>
      <c r="AB15" s="11">
        <f t="shared" si="54"/>
        <v>2025</v>
      </c>
      <c r="AC15" s="11">
        <f t="shared" si="54"/>
        <v>2025</v>
      </c>
      <c r="AD15" s="11">
        <f t="shared" si="54"/>
        <v>2025</v>
      </c>
      <c r="AE15" s="11">
        <f t="shared" si="54"/>
        <v>2025</v>
      </c>
      <c r="AF15" s="11">
        <f t="shared" si="54"/>
        <v>2025</v>
      </c>
      <c r="AG15" s="11">
        <f t="shared" si="54"/>
        <v>2025</v>
      </c>
      <c r="AH15" s="11">
        <f t="shared" si="54"/>
        <v>2025</v>
      </c>
      <c r="AI15" s="11">
        <f t="shared" si="54"/>
        <v>2025</v>
      </c>
      <c r="AJ15" s="12">
        <f t="shared" ref="AJ15:AU15" si="55">$G$17*$AC$1*$AF$1</f>
        <v>1800</v>
      </c>
      <c r="AK15" s="12">
        <f t="shared" si="55"/>
        <v>1800</v>
      </c>
      <c r="AL15" s="12">
        <f t="shared" si="55"/>
        <v>1800</v>
      </c>
      <c r="AM15" s="12">
        <f t="shared" si="55"/>
        <v>1800</v>
      </c>
      <c r="AN15" s="12">
        <f t="shared" si="55"/>
        <v>1800</v>
      </c>
      <c r="AO15" s="12">
        <f t="shared" si="55"/>
        <v>1800</v>
      </c>
      <c r="AP15" s="12">
        <f t="shared" si="55"/>
        <v>1800</v>
      </c>
      <c r="AQ15" s="12">
        <f t="shared" si="55"/>
        <v>1800</v>
      </c>
      <c r="AR15" s="12">
        <f t="shared" si="55"/>
        <v>1800</v>
      </c>
      <c r="AS15" s="12">
        <f t="shared" si="55"/>
        <v>1800</v>
      </c>
      <c r="AT15" s="12">
        <f t="shared" si="55"/>
        <v>1800</v>
      </c>
      <c r="AU15" s="12">
        <f t="shared" si="55"/>
        <v>1800</v>
      </c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13"/>
    </row>
    <row r="16" spans="1:73" ht="13.5" thickBot="1" x14ac:dyDescent="0.25">
      <c r="A16" s="58"/>
      <c r="B16" s="25" t="s">
        <v>10</v>
      </c>
      <c r="C16" s="10"/>
      <c r="D16" s="31"/>
      <c r="E16" s="32"/>
      <c r="F16" s="32"/>
      <c r="G16" s="32"/>
      <c r="H16" s="32"/>
      <c r="I16" s="36"/>
      <c r="J16" s="10"/>
      <c r="K16" s="10"/>
      <c r="L16" s="10"/>
      <c r="M16" s="10">
        <f t="shared" ref="M16:X16" si="56">$G$17*$E$1*$H$1</f>
        <v>8250</v>
      </c>
      <c r="N16" s="10">
        <f t="shared" si="56"/>
        <v>8250</v>
      </c>
      <c r="O16" s="10">
        <f t="shared" si="56"/>
        <v>8250</v>
      </c>
      <c r="P16" s="10">
        <f t="shared" si="56"/>
        <v>8250</v>
      </c>
      <c r="Q16" s="10">
        <f t="shared" si="56"/>
        <v>8250</v>
      </c>
      <c r="R16" s="10">
        <f t="shared" si="56"/>
        <v>8250</v>
      </c>
      <c r="S16" s="10">
        <f t="shared" si="56"/>
        <v>8250</v>
      </c>
      <c r="T16" s="10">
        <f t="shared" si="56"/>
        <v>8250</v>
      </c>
      <c r="U16" s="10">
        <f t="shared" si="56"/>
        <v>8250</v>
      </c>
      <c r="V16" s="10">
        <f t="shared" si="56"/>
        <v>8250</v>
      </c>
      <c r="W16" s="10">
        <f t="shared" si="56"/>
        <v>8250</v>
      </c>
      <c r="X16" s="10">
        <f t="shared" si="56"/>
        <v>8250</v>
      </c>
      <c r="Y16" s="11">
        <f t="shared" ref="Y16:AJ16" si="57">$G$17*$Q$1*$T$1</f>
        <v>2025</v>
      </c>
      <c r="Z16" s="11">
        <f t="shared" si="57"/>
        <v>2025</v>
      </c>
      <c r="AA16" s="11">
        <f t="shared" si="57"/>
        <v>2025</v>
      </c>
      <c r="AB16" s="11">
        <f t="shared" si="57"/>
        <v>2025</v>
      </c>
      <c r="AC16" s="11">
        <f t="shared" si="57"/>
        <v>2025</v>
      </c>
      <c r="AD16" s="11">
        <f t="shared" si="57"/>
        <v>2025</v>
      </c>
      <c r="AE16" s="11">
        <f t="shared" si="57"/>
        <v>2025</v>
      </c>
      <c r="AF16" s="11">
        <f t="shared" si="57"/>
        <v>2025</v>
      </c>
      <c r="AG16" s="11">
        <f t="shared" si="57"/>
        <v>2025</v>
      </c>
      <c r="AH16" s="11">
        <f t="shared" si="57"/>
        <v>2025</v>
      </c>
      <c r="AI16" s="11">
        <f t="shared" si="57"/>
        <v>2025</v>
      </c>
      <c r="AJ16" s="11">
        <f t="shared" si="57"/>
        <v>2025</v>
      </c>
      <c r="AK16" s="12">
        <f t="shared" ref="AK16:AV16" si="58">$G$17*$AC$1*$AF$1</f>
        <v>1800</v>
      </c>
      <c r="AL16" s="12">
        <f t="shared" si="58"/>
        <v>1800</v>
      </c>
      <c r="AM16" s="12">
        <f t="shared" si="58"/>
        <v>1800</v>
      </c>
      <c r="AN16" s="12">
        <f t="shared" si="58"/>
        <v>1800</v>
      </c>
      <c r="AO16" s="12">
        <f t="shared" si="58"/>
        <v>1800</v>
      </c>
      <c r="AP16" s="12">
        <f t="shared" si="58"/>
        <v>1800</v>
      </c>
      <c r="AQ16" s="12">
        <f t="shared" si="58"/>
        <v>1800</v>
      </c>
      <c r="AR16" s="12">
        <f t="shared" si="58"/>
        <v>1800</v>
      </c>
      <c r="AS16" s="12">
        <f t="shared" si="58"/>
        <v>1800</v>
      </c>
      <c r="AT16" s="12">
        <f t="shared" si="58"/>
        <v>1800</v>
      </c>
      <c r="AU16" s="12">
        <f t="shared" si="58"/>
        <v>1800</v>
      </c>
      <c r="AV16" s="12">
        <f t="shared" si="58"/>
        <v>1800</v>
      </c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13"/>
    </row>
    <row r="17" spans="1:81" ht="12.75" customHeight="1" thickBot="1" x14ac:dyDescent="0.25">
      <c r="A17" s="58"/>
      <c r="B17" s="26" t="s">
        <v>11</v>
      </c>
      <c r="C17" s="10"/>
      <c r="D17" s="31"/>
      <c r="E17" s="62" t="s">
        <v>18</v>
      </c>
      <c r="F17" s="63"/>
      <c r="G17" s="66">
        <v>15000</v>
      </c>
      <c r="H17" s="67"/>
      <c r="I17" s="36"/>
      <c r="J17" s="10"/>
      <c r="K17" s="10"/>
      <c r="L17" s="10"/>
      <c r="M17" s="10"/>
      <c r="N17" s="10">
        <f t="shared" ref="N17:Y17" si="59">$G$17*$E$1*$H$1</f>
        <v>8250</v>
      </c>
      <c r="O17" s="10">
        <f t="shared" si="59"/>
        <v>8250</v>
      </c>
      <c r="P17" s="10">
        <f t="shared" si="59"/>
        <v>8250</v>
      </c>
      <c r="Q17" s="10">
        <f t="shared" si="59"/>
        <v>8250</v>
      </c>
      <c r="R17" s="10">
        <f t="shared" si="59"/>
        <v>8250</v>
      </c>
      <c r="S17" s="10">
        <f t="shared" si="59"/>
        <v>8250</v>
      </c>
      <c r="T17" s="10">
        <f t="shared" si="59"/>
        <v>8250</v>
      </c>
      <c r="U17" s="10">
        <f t="shared" si="59"/>
        <v>8250</v>
      </c>
      <c r="V17" s="10">
        <f t="shared" si="59"/>
        <v>8250</v>
      </c>
      <c r="W17" s="10">
        <f t="shared" si="59"/>
        <v>8250</v>
      </c>
      <c r="X17" s="10">
        <f t="shared" si="59"/>
        <v>8250</v>
      </c>
      <c r="Y17" s="10">
        <f t="shared" si="59"/>
        <v>8250</v>
      </c>
      <c r="Z17" s="11">
        <f t="shared" ref="Z17:AK17" si="60">$G$17*$Q$1*$T$1</f>
        <v>2025</v>
      </c>
      <c r="AA17" s="11">
        <f t="shared" si="60"/>
        <v>2025</v>
      </c>
      <c r="AB17" s="11">
        <f t="shared" si="60"/>
        <v>2025</v>
      </c>
      <c r="AC17" s="11">
        <f t="shared" si="60"/>
        <v>2025</v>
      </c>
      <c r="AD17" s="11">
        <f t="shared" si="60"/>
        <v>2025</v>
      </c>
      <c r="AE17" s="11">
        <f t="shared" si="60"/>
        <v>2025</v>
      </c>
      <c r="AF17" s="11">
        <f t="shared" si="60"/>
        <v>2025</v>
      </c>
      <c r="AG17" s="11">
        <f t="shared" si="60"/>
        <v>2025</v>
      </c>
      <c r="AH17" s="11">
        <f t="shared" si="60"/>
        <v>2025</v>
      </c>
      <c r="AI17" s="11">
        <f t="shared" si="60"/>
        <v>2025</v>
      </c>
      <c r="AJ17" s="11">
        <f t="shared" si="60"/>
        <v>2025</v>
      </c>
      <c r="AK17" s="11">
        <f t="shared" si="60"/>
        <v>2025</v>
      </c>
      <c r="AL17" s="12">
        <f t="shared" ref="AL17:AW17" si="61">$G$17*$AC$1*$AF$1</f>
        <v>1800</v>
      </c>
      <c r="AM17" s="12">
        <f t="shared" si="61"/>
        <v>1800</v>
      </c>
      <c r="AN17" s="12">
        <f t="shared" si="61"/>
        <v>1800</v>
      </c>
      <c r="AO17" s="12">
        <f t="shared" si="61"/>
        <v>1800</v>
      </c>
      <c r="AP17" s="12">
        <f t="shared" si="61"/>
        <v>1800</v>
      </c>
      <c r="AQ17" s="12">
        <f t="shared" si="61"/>
        <v>1800</v>
      </c>
      <c r="AR17" s="12">
        <f t="shared" si="61"/>
        <v>1800</v>
      </c>
      <c r="AS17" s="12">
        <f t="shared" si="61"/>
        <v>1800</v>
      </c>
      <c r="AT17" s="12">
        <f t="shared" si="61"/>
        <v>1800</v>
      </c>
      <c r="AU17" s="12">
        <f t="shared" si="61"/>
        <v>1800</v>
      </c>
      <c r="AV17" s="12">
        <f t="shared" si="61"/>
        <v>1800</v>
      </c>
      <c r="AW17" s="12">
        <f t="shared" si="61"/>
        <v>1800</v>
      </c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13"/>
    </row>
    <row r="18" spans="1:81" ht="12.75" customHeight="1" thickBot="1" x14ac:dyDescent="0.25">
      <c r="A18" s="57" t="s">
        <v>13</v>
      </c>
      <c r="B18" s="1" t="s">
        <v>0</v>
      </c>
      <c r="C18" s="5"/>
      <c r="D18" s="31"/>
      <c r="E18" s="64"/>
      <c r="F18" s="65"/>
      <c r="G18" s="68"/>
      <c r="H18" s="69"/>
      <c r="I18" s="36"/>
      <c r="J18" s="5"/>
      <c r="K18" s="5"/>
      <c r="L18" s="5"/>
      <c r="M18" s="5"/>
      <c r="N18" s="5"/>
      <c r="O18" s="5">
        <f t="shared" ref="O18:Z18" si="62">$G$17*$E$1*$H$1</f>
        <v>8250</v>
      </c>
      <c r="P18" s="5">
        <f t="shared" si="62"/>
        <v>8250</v>
      </c>
      <c r="Q18" s="5">
        <f t="shared" si="62"/>
        <v>8250</v>
      </c>
      <c r="R18" s="5">
        <f t="shared" si="62"/>
        <v>8250</v>
      </c>
      <c r="S18" s="5">
        <f t="shared" si="62"/>
        <v>8250</v>
      </c>
      <c r="T18" s="5">
        <f t="shared" si="62"/>
        <v>8250</v>
      </c>
      <c r="U18" s="5">
        <f t="shared" si="62"/>
        <v>8250</v>
      </c>
      <c r="V18" s="5">
        <f t="shared" si="62"/>
        <v>8250</v>
      </c>
      <c r="W18" s="5">
        <f t="shared" si="62"/>
        <v>8250</v>
      </c>
      <c r="X18" s="5">
        <f t="shared" si="62"/>
        <v>8250</v>
      </c>
      <c r="Y18" s="5">
        <f t="shared" si="62"/>
        <v>8250</v>
      </c>
      <c r="Z18" s="5">
        <f t="shared" si="62"/>
        <v>8250</v>
      </c>
      <c r="AA18" s="6">
        <f t="shared" ref="AA18:AL18" si="63">$G$17*$Q$1*$T$1</f>
        <v>2025</v>
      </c>
      <c r="AB18" s="6">
        <f t="shared" si="63"/>
        <v>2025</v>
      </c>
      <c r="AC18" s="6">
        <f t="shared" si="63"/>
        <v>2025</v>
      </c>
      <c r="AD18" s="6">
        <f t="shared" si="63"/>
        <v>2025</v>
      </c>
      <c r="AE18" s="6">
        <f t="shared" si="63"/>
        <v>2025</v>
      </c>
      <c r="AF18" s="6">
        <f t="shared" si="63"/>
        <v>2025</v>
      </c>
      <c r="AG18" s="6">
        <f t="shared" si="63"/>
        <v>2025</v>
      </c>
      <c r="AH18" s="6">
        <f t="shared" si="63"/>
        <v>2025</v>
      </c>
      <c r="AI18" s="6">
        <f t="shared" si="63"/>
        <v>2025</v>
      </c>
      <c r="AJ18" s="6">
        <f t="shared" si="63"/>
        <v>2025</v>
      </c>
      <c r="AK18" s="6">
        <f t="shared" si="63"/>
        <v>2025</v>
      </c>
      <c r="AL18" s="6">
        <f t="shared" si="63"/>
        <v>2025</v>
      </c>
      <c r="AM18" s="7">
        <f t="shared" ref="AM18:AX18" si="64">$G$17*$AC$1*$AF$1</f>
        <v>1800</v>
      </c>
      <c r="AN18" s="7">
        <f t="shared" si="64"/>
        <v>1800</v>
      </c>
      <c r="AO18" s="7">
        <f t="shared" si="64"/>
        <v>1800</v>
      </c>
      <c r="AP18" s="7">
        <f t="shared" si="64"/>
        <v>1800</v>
      </c>
      <c r="AQ18" s="7">
        <f t="shared" si="64"/>
        <v>1800</v>
      </c>
      <c r="AR18" s="7">
        <f t="shared" si="64"/>
        <v>1800</v>
      </c>
      <c r="AS18" s="7">
        <f t="shared" si="64"/>
        <v>1800</v>
      </c>
      <c r="AT18" s="7">
        <f t="shared" si="64"/>
        <v>1800</v>
      </c>
      <c r="AU18" s="7">
        <f t="shared" si="64"/>
        <v>1800</v>
      </c>
      <c r="AV18" s="7">
        <f t="shared" si="64"/>
        <v>1800</v>
      </c>
      <c r="AW18" s="7">
        <f t="shared" si="64"/>
        <v>1800</v>
      </c>
      <c r="AX18" s="7">
        <f t="shared" si="64"/>
        <v>1800</v>
      </c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8"/>
      <c r="BV18" s="9"/>
      <c r="BW18" s="9"/>
      <c r="BX18" s="9"/>
      <c r="BY18" s="9"/>
      <c r="BZ18" s="9"/>
      <c r="CA18" s="9"/>
      <c r="CB18" s="9"/>
      <c r="CC18" s="9"/>
    </row>
    <row r="19" spans="1:81" ht="12.75" customHeight="1" thickBot="1" x14ac:dyDescent="0.25">
      <c r="A19" s="58"/>
      <c r="B19" s="1" t="s">
        <v>1</v>
      </c>
      <c r="C19" s="10"/>
      <c r="D19" s="31"/>
      <c r="E19" s="46"/>
      <c r="F19" s="46"/>
      <c r="G19" s="46"/>
      <c r="H19" s="46"/>
      <c r="I19" s="72"/>
      <c r="J19" s="10"/>
      <c r="K19" s="10"/>
      <c r="L19" s="10"/>
      <c r="M19" s="10"/>
      <c r="N19" s="10"/>
      <c r="O19" s="10"/>
      <c r="P19" s="10">
        <f t="shared" ref="P19:AA19" si="65">$G$17*$E$1*$H$1</f>
        <v>8250</v>
      </c>
      <c r="Q19" s="10">
        <f t="shared" si="65"/>
        <v>8250</v>
      </c>
      <c r="R19" s="10">
        <f t="shared" si="65"/>
        <v>8250</v>
      </c>
      <c r="S19" s="10">
        <f t="shared" si="65"/>
        <v>8250</v>
      </c>
      <c r="T19" s="10">
        <f t="shared" si="65"/>
        <v>8250</v>
      </c>
      <c r="U19" s="10">
        <f t="shared" si="65"/>
        <v>8250</v>
      </c>
      <c r="V19" s="10">
        <f t="shared" si="65"/>
        <v>8250</v>
      </c>
      <c r="W19" s="10">
        <f t="shared" si="65"/>
        <v>8250</v>
      </c>
      <c r="X19" s="10">
        <f t="shared" si="65"/>
        <v>8250</v>
      </c>
      <c r="Y19" s="10">
        <f t="shared" si="65"/>
        <v>8250</v>
      </c>
      <c r="Z19" s="10">
        <f t="shared" si="65"/>
        <v>8250</v>
      </c>
      <c r="AA19" s="10">
        <f t="shared" si="65"/>
        <v>8250</v>
      </c>
      <c r="AB19" s="11">
        <f t="shared" ref="AB19:AM19" si="66">$G$17*$Q$1*$T$1</f>
        <v>2025</v>
      </c>
      <c r="AC19" s="11">
        <f t="shared" si="66"/>
        <v>2025</v>
      </c>
      <c r="AD19" s="11">
        <f t="shared" si="66"/>
        <v>2025</v>
      </c>
      <c r="AE19" s="11">
        <f t="shared" si="66"/>
        <v>2025</v>
      </c>
      <c r="AF19" s="11">
        <f t="shared" si="66"/>
        <v>2025</v>
      </c>
      <c r="AG19" s="11">
        <f t="shared" si="66"/>
        <v>2025</v>
      </c>
      <c r="AH19" s="11">
        <f t="shared" si="66"/>
        <v>2025</v>
      </c>
      <c r="AI19" s="11">
        <f t="shared" si="66"/>
        <v>2025</v>
      </c>
      <c r="AJ19" s="11">
        <f t="shared" si="66"/>
        <v>2025</v>
      </c>
      <c r="AK19" s="11">
        <f t="shared" si="66"/>
        <v>2025</v>
      </c>
      <c r="AL19" s="11">
        <f t="shared" si="66"/>
        <v>2025</v>
      </c>
      <c r="AM19" s="11">
        <f t="shared" si="66"/>
        <v>2025</v>
      </c>
      <c r="AN19" s="12">
        <f t="shared" ref="AN19:AY19" si="67">$G$17*$AC$1*$AF$1</f>
        <v>1800</v>
      </c>
      <c r="AO19" s="12">
        <f t="shared" si="67"/>
        <v>1800</v>
      </c>
      <c r="AP19" s="12">
        <f t="shared" si="67"/>
        <v>1800</v>
      </c>
      <c r="AQ19" s="12">
        <f t="shared" si="67"/>
        <v>1800</v>
      </c>
      <c r="AR19" s="12">
        <f t="shared" si="67"/>
        <v>1800</v>
      </c>
      <c r="AS19" s="12">
        <f t="shared" si="67"/>
        <v>1800</v>
      </c>
      <c r="AT19" s="12">
        <f t="shared" si="67"/>
        <v>1800</v>
      </c>
      <c r="AU19" s="12">
        <f t="shared" si="67"/>
        <v>1800</v>
      </c>
      <c r="AV19" s="12">
        <f t="shared" si="67"/>
        <v>1800</v>
      </c>
      <c r="AW19" s="12">
        <f t="shared" si="67"/>
        <v>1800</v>
      </c>
      <c r="AX19" s="12">
        <f t="shared" si="67"/>
        <v>1800</v>
      </c>
      <c r="AY19" s="12">
        <f t="shared" si="67"/>
        <v>1800</v>
      </c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13"/>
      <c r="BV19" s="9"/>
      <c r="BW19" s="9"/>
      <c r="BX19" s="9"/>
      <c r="BY19" s="9"/>
      <c r="BZ19" s="9"/>
      <c r="CA19" s="9"/>
      <c r="CB19" s="9"/>
      <c r="CC19" s="9"/>
    </row>
    <row r="20" spans="1:81" ht="12.75" customHeight="1" x14ac:dyDescent="0.2">
      <c r="A20" s="58"/>
      <c r="B20" s="1" t="s">
        <v>2</v>
      </c>
      <c r="C20" s="10"/>
      <c r="D20" s="31"/>
      <c r="E20" s="74" t="s">
        <v>22</v>
      </c>
      <c r="F20" s="75"/>
      <c r="G20" s="78">
        <f>SUM(C4:AL4)</f>
        <v>9279450</v>
      </c>
      <c r="H20" s="79"/>
      <c r="I20" s="73"/>
      <c r="J20" s="10"/>
      <c r="K20" s="10"/>
      <c r="L20" s="10"/>
      <c r="M20" s="10"/>
      <c r="N20" s="10"/>
      <c r="O20" s="10"/>
      <c r="P20" s="10"/>
      <c r="Q20" s="10">
        <f t="shared" ref="Q20:AB20" si="68">$G$17*$E$1*$H$1</f>
        <v>8250</v>
      </c>
      <c r="R20" s="10">
        <f t="shared" si="68"/>
        <v>8250</v>
      </c>
      <c r="S20" s="10">
        <f t="shared" si="68"/>
        <v>8250</v>
      </c>
      <c r="T20" s="10">
        <f t="shared" si="68"/>
        <v>8250</v>
      </c>
      <c r="U20" s="10">
        <f t="shared" si="68"/>
        <v>8250</v>
      </c>
      <c r="V20" s="10">
        <f t="shared" si="68"/>
        <v>8250</v>
      </c>
      <c r="W20" s="10">
        <f t="shared" si="68"/>
        <v>8250</v>
      </c>
      <c r="X20" s="10">
        <f t="shared" si="68"/>
        <v>8250</v>
      </c>
      <c r="Y20" s="10">
        <f t="shared" si="68"/>
        <v>8250</v>
      </c>
      <c r="Z20" s="10">
        <f t="shared" si="68"/>
        <v>8250</v>
      </c>
      <c r="AA20" s="10">
        <f t="shared" si="68"/>
        <v>8250</v>
      </c>
      <c r="AB20" s="10">
        <f t="shared" si="68"/>
        <v>8250</v>
      </c>
      <c r="AC20" s="11">
        <f t="shared" ref="AC20:AN20" si="69">$G$17*$Q$1*$T$1</f>
        <v>2025</v>
      </c>
      <c r="AD20" s="11">
        <f t="shared" si="69"/>
        <v>2025</v>
      </c>
      <c r="AE20" s="11">
        <f t="shared" si="69"/>
        <v>2025</v>
      </c>
      <c r="AF20" s="11">
        <f t="shared" si="69"/>
        <v>2025</v>
      </c>
      <c r="AG20" s="11">
        <f t="shared" si="69"/>
        <v>2025</v>
      </c>
      <c r="AH20" s="11">
        <f t="shared" si="69"/>
        <v>2025</v>
      </c>
      <c r="AI20" s="11">
        <f t="shared" si="69"/>
        <v>2025</v>
      </c>
      <c r="AJ20" s="11">
        <f t="shared" si="69"/>
        <v>2025</v>
      </c>
      <c r="AK20" s="11">
        <f t="shared" si="69"/>
        <v>2025</v>
      </c>
      <c r="AL20" s="11">
        <f t="shared" si="69"/>
        <v>2025</v>
      </c>
      <c r="AM20" s="11">
        <f t="shared" si="69"/>
        <v>2025</v>
      </c>
      <c r="AN20" s="11">
        <f t="shared" si="69"/>
        <v>2025</v>
      </c>
      <c r="AO20" s="12">
        <f t="shared" ref="AO20:AZ20" si="70">$G$17*$AC$1*$AF$1</f>
        <v>1800</v>
      </c>
      <c r="AP20" s="12">
        <f t="shared" si="70"/>
        <v>1800</v>
      </c>
      <c r="AQ20" s="12">
        <f t="shared" si="70"/>
        <v>1800</v>
      </c>
      <c r="AR20" s="12">
        <f t="shared" si="70"/>
        <v>1800</v>
      </c>
      <c r="AS20" s="12">
        <f t="shared" si="70"/>
        <v>1800</v>
      </c>
      <c r="AT20" s="12">
        <f t="shared" si="70"/>
        <v>1800</v>
      </c>
      <c r="AU20" s="12">
        <f t="shared" si="70"/>
        <v>1800</v>
      </c>
      <c r="AV20" s="12">
        <f t="shared" si="70"/>
        <v>1800</v>
      </c>
      <c r="AW20" s="12">
        <f t="shared" si="70"/>
        <v>1800</v>
      </c>
      <c r="AX20" s="12">
        <f t="shared" si="70"/>
        <v>1800</v>
      </c>
      <c r="AY20" s="12">
        <f t="shared" si="70"/>
        <v>1800</v>
      </c>
      <c r="AZ20" s="12">
        <f t="shared" si="70"/>
        <v>1800</v>
      </c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13"/>
      <c r="BV20" s="9"/>
      <c r="BW20" s="9"/>
      <c r="BX20" s="9"/>
      <c r="BY20" s="9"/>
      <c r="BZ20" s="9"/>
      <c r="CA20" s="9"/>
      <c r="CB20" s="9"/>
      <c r="CC20" s="9"/>
    </row>
    <row r="21" spans="1:81" ht="12.75" customHeight="1" thickBot="1" x14ac:dyDescent="0.25">
      <c r="A21" s="58"/>
      <c r="B21" s="1" t="s">
        <v>3</v>
      </c>
      <c r="C21" s="10"/>
      <c r="D21" s="31"/>
      <c r="E21" s="76"/>
      <c r="F21" s="77"/>
      <c r="G21" s="80"/>
      <c r="H21" s="81"/>
      <c r="I21" s="36"/>
      <c r="J21" s="10"/>
      <c r="K21" s="10"/>
      <c r="L21" s="10"/>
      <c r="M21" s="10"/>
      <c r="N21" s="10"/>
      <c r="O21" s="10"/>
      <c r="P21" s="10"/>
      <c r="Q21" s="10"/>
      <c r="R21" s="10">
        <f t="shared" ref="R21:AC21" si="71">$G$17*$E$1*$H$1</f>
        <v>8250</v>
      </c>
      <c r="S21" s="10">
        <f t="shared" si="71"/>
        <v>8250</v>
      </c>
      <c r="T21" s="10">
        <f t="shared" si="71"/>
        <v>8250</v>
      </c>
      <c r="U21" s="10">
        <f t="shared" si="71"/>
        <v>8250</v>
      </c>
      <c r="V21" s="10">
        <f t="shared" si="71"/>
        <v>8250</v>
      </c>
      <c r="W21" s="10">
        <f t="shared" si="71"/>
        <v>8250</v>
      </c>
      <c r="X21" s="10">
        <f t="shared" si="71"/>
        <v>8250</v>
      </c>
      <c r="Y21" s="10">
        <f t="shared" si="71"/>
        <v>8250</v>
      </c>
      <c r="Z21" s="10">
        <f t="shared" si="71"/>
        <v>8250</v>
      </c>
      <c r="AA21" s="10">
        <f t="shared" si="71"/>
        <v>8250</v>
      </c>
      <c r="AB21" s="10">
        <f t="shared" si="71"/>
        <v>8250</v>
      </c>
      <c r="AC21" s="10">
        <f t="shared" si="71"/>
        <v>8250</v>
      </c>
      <c r="AD21" s="11">
        <f t="shared" ref="AD21:AO21" si="72">$G$17*$Q$1*$T$1</f>
        <v>2025</v>
      </c>
      <c r="AE21" s="11">
        <f t="shared" si="72"/>
        <v>2025</v>
      </c>
      <c r="AF21" s="11">
        <f t="shared" si="72"/>
        <v>2025</v>
      </c>
      <c r="AG21" s="11">
        <f t="shared" si="72"/>
        <v>2025</v>
      </c>
      <c r="AH21" s="11">
        <f t="shared" si="72"/>
        <v>2025</v>
      </c>
      <c r="AI21" s="11">
        <f t="shared" si="72"/>
        <v>2025</v>
      </c>
      <c r="AJ21" s="11">
        <f t="shared" si="72"/>
        <v>2025</v>
      </c>
      <c r="AK21" s="11">
        <f t="shared" si="72"/>
        <v>2025</v>
      </c>
      <c r="AL21" s="11">
        <f t="shared" si="72"/>
        <v>2025</v>
      </c>
      <c r="AM21" s="11">
        <f t="shared" si="72"/>
        <v>2025</v>
      </c>
      <c r="AN21" s="11">
        <f t="shared" si="72"/>
        <v>2025</v>
      </c>
      <c r="AO21" s="11">
        <f t="shared" si="72"/>
        <v>2025</v>
      </c>
      <c r="AP21" s="12">
        <f t="shared" ref="AP21:BA21" si="73">$G$17*$AC$1*$AF$1</f>
        <v>1800</v>
      </c>
      <c r="AQ21" s="12">
        <f t="shared" si="73"/>
        <v>1800</v>
      </c>
      <c r="AR21" s="12">
        <f t="shared" si="73"/>
        <v>1800</v>
      </c>
      <c r="AS21" s="12">
        <f t="shared" si="73"/>
        <v>1800</v>
      </c>
      <c r="AT21" s="12">
        <f t="shared" si="73"/>
        <v>1800</v>
      </c>
      <c r="AU21" s="12">
        <f t="shared" si="73"/>
        <v>1800</v>
      </c>
      <c r="AV21" s="12">
        <f t="shared" si="73"/>
        <v>1800</v>
      </c>
      <c r="AW21" s="12">
        <f t="shared" si="73"/>
        <v>1800</v>
      </c>
      <c r="AX21" s="12">
        <f t="shared" si="73"/>
        <v>1800</v>
      </c>
      <c r="AY21" s="12">
        <f t="shared" si="73"/>
        <v>1800</v>
      </c>
      <c r="AZ21" s="12">
        <f t="shared" si="73"/>
        <v>1800</v>
      </c>
      <c r="BA21" s="12">
        <f t="shared" si="73"/>
        <v>1800</v>
      </c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13"/>
      <c r="BV21" s="9"/>
      <c r="BW21" s="9"/>
      <c r="BX21" s="9"/>
      <c r="BY21" s="9"/>
      <c r="BZ21" s="9"/>
      <c r="CA21" s="9"/>
      <c r="CB21" s="9"/>
      <c r="CC21" s="9"/>
    </row>
    <row r="22" spans="1:81" ht="12.75" customHeight="1" x14ac:dyDescent="0.2">
      <c r="A22" s="58"/>
      <c r="B22" s="1" t="s">
        <v>4</v>
      </c>
      <c r="C22" s="10"/>
      <c r="D22" s="31"/>
      <c r="E22" s="43"/>
      <c r="F22" s="43"/>
      <c r="G22" s="43"/>
      <c r="H22" s="43"/>
      <c r="I22" s="36"/>
      <c r="J22" s="10"/>
      <c r="K22" s="10"/>
      <c r="P22" s="10"/>
      <c r="Q22" s="10"/>
      <c r="R22" s="10"/>
      <c r="S22" s="10">
        <f t="shared" ref="S22:AD22" si="74">$G$17*$E$1*$H$1</f>
        <v>8250</v>
      </c>
      <c r="T22" s="10">
        <f t="shared" si="74"/>
        <v>8250</v>
      </c>
      <c r="U22" s="10">
        <f t="shared" si="74"/>
        <v>8250</v>
      </c>
      <c r="V22" s="10">
        <f t="shared" si="74"/>
        <v>8250</v>
      </c>
      <c r="W22" s="10">
        <f t="shared" si="74"/>
        <v>8250</v>
      </c>
      <c r="X22" s="10">
        <f t="shared" si="74"/>
        <v>8250</v>
      </c>
      <c r="Y22" s="10">
        <f t="shared" si="74"/>
        <v>8250</v>
      </c>
      <c r="Z22" s="10">
        <f t="shared" si="74"/>
        <v>8250</v>
      </c>
      <c r="AA22" s="10">
        <f t="shared" si="74"/>
        <v>8250</v>
      </c>
      <c r="AB22" s="10">
        <f t="shared" si="74"/>
        <v>8250</v>
      </c>
      <c r="AC22" s="10">
        <f t="shared" si="74"/>
        <v>8250</v>
      </c>
      <c r="AD22" s="10">
        <f t="shared" si="74"/>
        <v>8250</v>
      </c>
      <c r="AE22" s="11">
        <f t="shared" ref="AE22:AP22" si="75">$G$17*$Q$1*$T$1</f>
        <v>2025</v>
      </c>
      <c r="AF22" s="11">
        <f t="shared" si="75"/>
        <v>2025</v>
      </c>
      <c r="AG22" s="11">
        <f t="shared" si="75"/>
        <v>2025</v>
      </c>
      <c r="AH22" s="11">
        <f t="shared" si="75"/>
        <v>2025</v>
      </c>
      <c r="AI22" s="11">
        <f t="shared" si="75"/>
        <v>2025</v>
      </c>
      <c r="AJ22" s="11">
        <f t="shared" si="75"/>
        <v>2025</v>
      </c>
      <c r="AK22" s="11">
        <f t="shared" si="75"/>
        <v>2025</v>
      </c>
      <c r="AL22" s="11">
        <f t="shared" si="75"/>
        <v>2025</v>
      </c>
      <c r="AM22" s="11">
        <f t="shared" si="75"/>
        <v>2025</v>
      </c>
      <c r="AN22" s="11">
        <f t="shared" si="75"/>
        <v>2025</v>
      </c>
      <c r="AO22" s="11">
        <f t="shared" si="75"/>
        <v>2025</v>
      </c>
      <c r="AP22" s="11">
        <f t="shared" si="75"/>
        <v>2025</v>
      </c>
      <c r="AQ22" s="12">
        <f t="shared" ref="AQ22:BB22" si="76">$G$17*$AC$1*$AF$1</f>
        <v>1800</v>
      </c>
      <c r="AR22" s="12">
        <f t="shared" si="76"/>
        <v>1800</v>
      </c>
      <c r="AS22" s="12">
        <f t="shared" si="76"/>
        <v>1800</v>
      </c>
      <c r="AT22" s="12">
        <f t="shared" si="76"/>
        <v>1800</v>
      </c>
      <c r="AU22" s="12">
        <f t="shared" si="76"/>
        <v>1800</v>
      </c>
      <c r="AV22" s="12">
        <f t="shared" si="76"/>
        <v>1800</v>
      </c>
      <c r="AW22" s="12">
        <f t="shared" si="76"/>
        <v>1800</v>
      </c>
      <c r="AX22" s="12">
        <f t="shared" si="76"/>
        <v>1800</v>
      </c>
      <c r="AY22" s="12">
        <f t="shared" si="76"/>
        <v>1800</v>
      </c>
      <c r="AZ22" s="12">
        <f t="shared" si="76"/>
        <v>1800</v>
      </c>
      <c r="BA22" s="12">
        <f t="shared" si="76"/>
        <v>1800</v>
      </c>
      <c r="BB22" s="12">
        <f t="shared" si="76"/>
        <v>1800</v>
      </c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13"/>
      <c r="BV22" s="9"/>
      <c r="BW22" s="9"/>
      <c r="BX22" s="9"/>
      <c r="BY22" s="9"/>
      <c r="BZ22" s="9"/>
      <c r="CA22" s="9"/>
      <c r="CB22" s="9"/>
      <c r="CC22" s="9"/>
    </row>
    <row r="23" spans="1:81" ht="12.75" customHeight="1" thickBot="1" x14ac:dyDescent="0.25">
      <c r="A23" s="58"/>
      <c r="B23" s="1" t="s">
        <v>5</v>
      </c>
      <c r="C23" s="10"/>
      <c r="D23" s="33"/>
      <c r="E23" s="34"/>
      <c r="F23" s="34"/>
      <c r="G23" s="34"/>
      <c r="H23" s="34"/>
      <c r="I23" s="37"/>
      <c r="J23" s="10"/>
      <c r="K23" s="10"/>
      <c r="P23" s="10"/>
      <c r="Q23" s="10"/>
      <c r="R23" s="10"/>
      <c r="S23" s="10"/>
      <c r="T23" s="10">
        <f t="shared" ref="T23:AE23" si="77">$G$17*$E$1*$H$1</f>
        <v>8250</v>
      </c>
      <c r="U23" s="10">
        <f t="shared" si="77"/>
        <v>8250</v>
      </c>
      <c r="V23" s="10">
        <f t="shared" si="77"/>
        <v>8250</v>
      </c>
      <c r="W23" s="10">
        <f t="shared" si="77"/>
        <v>8250</v>
      </c>
      <c r="X23" s="10">
        <f t="shared" si="77"/>
        <v>8250</v>
      </c>
      <c r="Y23" s="10">
        <f t="shared" si="77"/>
        <v>8250</v>
      </c>
      <c r="Z23" s="10">
        <f t="shared" si="77"/>
        <v>8250</v>
      </c>
      <c r="AA23" s="10">
        <f t="shared" si="77"/>
        <v>8250</v>
      </c>
      <c r="AB23" s="10">
        <f t="shared" si="77"/>
        <v>8250</v>
      </c>
      <c r="AC23" s="10">
        <f t="shared" si="77"/>
        <v>8250</v>
      </c>
      <c r="AD23" s="10">
        <f t="shared" si="77"/>
        <v>8250</v>
      </c>
      <c r="AE23" s="10">
        <f t="shared" si="77"/>
        <v>8250</v>
      </c>
      <c r="AF23" s="11">
        <f t="shared" ref="AF23:AQ23" si="78">$G$17*$Q$1*$T$1</f>
        <v>2025</v>
      </c>
      <c r="AG23" s="11">
        <f t="shared" si="78"/>
        <v>2025</v>
      </c>
      <c r="AH23" s="11">
        <f t="shared" si="78"/>
        <v>2025</v>
      </c>
      <c r="AI23" s="11">
        <f t="shared" si="78"/>
        <v>2025</v>
      </c>
      <c r="AJ23" s="11">
        <f t="shared" si="78"/>
        <v>2025</v>
      </c>
      <c r="AK23" s="11">
        <f t="shared" si="78"/>
        <v>2025</v>
      </c>
      <c r="AL23" s="11">
        <f t="shared" si="78"/>
        <v>2025</v>
      </c>
      <c r="AM23" s="11">
        <f t="shared" si="78"/>
        <v>2025</v>
      </c>
      <c r="AN23" s="11">
        <f t="shared" si="78"/>
        <v>2025</v>
      </c>
      <c r="AO23" s="11">
        <f t="shared" si="78"/>
        <v>2025</v>
      </c>
      <c r="AP23" s="11">
        <f t="shared" si="78"/>
        <v>2025</v>
      </c>
      <c r="AQ23" s="11">
        <f t="shared" si="78"/>
        <v>2025</v>
      </c>
      <c r="AR23" s="12">
        <f t="shared" ref="AR23:BC23" si="79">$G$17*$AC$1*$AF$1</f>
        <v>1800</v>
      </c>
      <c r="AS23" s="12">
        <f t="shared" si="79"/>
        <v>1800</v>
      </c>
      <c r="AT23" s="12">
        <f t="shared" si="79"/>
        <v>1800</v>
      </c>
      <c r="AU23" s="12">
        <f t="shared" si="79"/>
        <v>1800</v>
      </c>
      <c r="AV23" s="12">
        <f t="shared" si="79"/>
        <v>1800</v>
      </c>
      <c r="AW23" s="12">
        <f t="shared" si="79"/>
        <v>1800</v>
      </c>
      <c r="AX23" s="12">
        <f t="shared" si="79"/>
        <v>1800</v>
      </c>
      <c r="AY23" s="12">
        <f t="shared" si="79"/>
        <v>1800</v>
      </c>
      <c r="AZ23" s="12">
        <f t="shared" si="79"/>
        <v>1800</v>
      </c>
      <c r="BA23" s="12">
        <f t="shared" si="79"/>
        <v>1800</v>
      </c>
      <c r="BB23" s="12">
        <f t="shared" si="79"/>
        <v>1800</v>
      </c>
      <c r="BC23" s="12">
        <f t="shared" si="79"/>
        <v>1800</v>
      </c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13"/>
      <c r="BV23" s="9"/>
      <c r="BW23" s="9"/>
      <c r="BX23" s="9"/>
      <c r="BY23" s="9"/>
      <c r="BZ23" s="9"/>
      <c r="CA23" s="9"/>
      <c r="CB23" s="9"/>
      <c r="CC23" s="9"/>
    </row>
    <row r="24" spans="1:81" ht="13.5" customHeight="1" thickTop="1" x14ac:dyDescent="0.2">
      <c r="A24" s="58"/>
      <c r="B24" s="1" t="s">
        <v>6</v>
      </c>
      <c r="C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>
        <f t="shared" ref="U24:AF24" si="80">$G$17*$E$1*$H$1</f>
        <v>8250</v>
      </c>
      <c r="V24" s="10">
        <f t="shared" si="80"/>
        <v>8250</v>
      </c>
      <c r="W24" s="10">
        <f t="shared" si="80"/>
        <v>8250</v>
      </c>
      <c r="X24" s="10">
        <f t="shared" si="80"/>
        <v>8250</v>
      </c>
      <c r="Y24" s="10">
        <f t="shared" si="80"/>
        <v>8250</v>
      </c>
      <c r="Z24" s="10">
        <f t="shared" si="80"/>
        <v>8250</v>
      </c>
      <c r="AA24" s="10">
        <f t="shared" si="80"/>
        <v>8250</v>
      </c>
      <c r="AB24" s="10">
        <f t="shared" si="80"/>
        <v>8250</v>
      </c>
      <c r="AC24" s="10">
        <f t="shared" si="80"/>
        <v>8250</v>
      </c>
      <c r="AD24" s="10">
        <f t="shared" si="80"/>
        <v>8250</v>
      </c>
      <c r="AE24" s="10">
        <f t="shared" si="80"/>
        <v>8250</v>
      </c>
      <c r="AF24" s="10">
        <f t="shared" si="80"/>
        <v>8250</v>
      </c>
      <c r="AG24" s="11">
        <f t="shared" ref="AG24:AR24" si="81">$G$17*$Q$1*$T$1</f>
        <v>2025</v>
      </c>
      <c r="AH24" s="11">
        <f t="shared" si="81"/>
        <v>2025</v>
      </c>
      <c r="AI24" s="11">
        <f t="shared" si="81"/>
        <v>2025</v>
      </c>
      <c r="AJ24" s="11">
        <f t="shared" si="81"/>
        <v>2025</v>
      </c>
      <c r="AK24" s="11">
        <f t="shared" si="81"/>
        <v>2025</v>
      </c>
      <c r="AL24" s="11">
        <f t="shared" si="81"/>
        <v>2025</v>
      </c>
      <c r="AM24" s="11">
        <f t="shared" si="81"/>
        <v>2025</v>
      </c>
      <c r="AN24" s="11">
        <f t="shared" si="81"/>
        <v>2025</v>
      </c>
      <c r="AO24" s="11">
        <f t="shared" si="81"/>
        <v>2025</v>
      </c>
      <c r="AP24" s="11">
        <f t="shared" si="81"/>
        <v>2025</v>
      </c>
      <c r="AQ24" s="11">
        <f t="shared" si="81"/>
        <v>2025</v>
      </c>
      <c r="AR24" s="11">
        <f t="shared" si="81"/>
        <v>2025</v>
      </c>
      <c r="AS24" s="12">
        <f t="shared" ref="AS24:BD24" si="82">$G$17*$AC$1*$AF$1</f>
        <v>1800</v>
      </c>
      <c r="AT24" s="12">
        <f t="shared" si="82"/>
        <v>1800</v>
      </c>
      <c r="AU24" s="12">
        <f t="shared" si="82"/>
        <v>1800</v>
      </c>
      <c r="AV24" s="12">
        <f t="shared" si="82"/>
        <v>1800</v>
      </c>
      <c r="AW24" s="12">
        <f t="shared" si="82"/>
        <v>1800</v>
      </c>
      <c r="AX24" s="12">
        <f t="shared" si="82"/>
        <v>1800</v>
      </c>
      <c r="AY24" s="12">
        <f t="shared" si="82"/>
        <v>1800</v>
      </c>
      <c r="AZ24" s="12">
        <f t="shared" si="82"/>
        <v>1800</v>
      </c>
      <c r="BA24" s="12">
        <f t="shared" si="82"/>
        <v>1800</v>
      </c>
      <c r="BB24" s="12">
        <f t="shared" si="82"/>
        <v>1800</v>
      </c>
      <c r="BC24" s="12">
        <f t="shared" si="82"/>
        <v>1800</v>
      </c>
      <c r="BD24" s="12">
        <f t="shared" si="82"/>
        <v>1800</v>
      </c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13"/>
      <c r="BV24" s="9"/>
      <c r="BW24" s="9"/>
      <c r="BX24" s="9"/>
      <c r="BY24" s="9"/>
      <c r="BZ24" s="9"/>
      <c r="CA24" s="9"/>
      <c r="CB24" s="9"/>
      <c r="CC24" s="9"/>
    </row>
    <row r="25" spans="1:81" x14ac:dyDescent="0.2">
      <c r="A25" s="58"/>
      <c r="B25" s="1" t="s">
        <v>7</v>
      </c>
      <c r="C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>
        <f t="shared" ref="V25:AG25" si="83">$G$17*$E$1*$H$1</f>
        <v>8250</v>
      </c>
      <c r="W25" s="10">
        <f t="shared" si="83"/>
        <v>8250</v>
      </c>
      <c r="X25" s="10">
        <f t="shared" si="83"/>
        <v>8250</v>
      </c>
      <c r="Y25" s="10">
        <f t="shared" si="83"/>
        <v>8250</v>
      </c>
      <c r="Z25" s="10">
        <f t="shared" si="83"/>
        <v>8250</v>
      </c>
      <c r="AA25" s="10">
        <f t="shared" si="83"/>
        <v>8250</v>
      </c>
      <c r="AB25" s="10">
        <f t="shared" si="83"/>
        <v>8250</v>
      </c>
      <c r="AC25" s="10">
        <f t="shared" si="83"/>
        <v>8250</v>
      </c>
      <c r="AD25" s="10">
        <f t="shared" si="83"/>
        <v>8250</v>
      </c>
      <c r="AE25" s="10">
        <f t="shared" si="83"/>
        <v>8250</v>
      </c>
      <c r="AF25" s="10">
        <f t="shared" si="83"/>
        <v>8250</v>
      </c>
      <c r="AG25" s="10">
        <f t="shared" si="83"/>
        <v>8250</v>
      </c>
      <c r="AH25" s="11">
        <f t="shared" ref="AH25:AS25" si="84">$G$17*$Q$1*$T$1</f>
        <v>2025</v>
      </c>
      <c r="AI25" s="11">
        <f t="shared" si="84"/>
        <v>2025</v>
      </c>
      <c r="AJ25" s="11">
        <f t="shared" si="84"/>
        <v>2025</v>
      </c>
      <c r="AK25" s="11">
        <f t="shared" si="84"/>
        <v>2025</v>
      </c>
      <c r="AL25" s="11">
        <f t="shared" si="84"/>
        <v>2025</v>
      </c>
      <c r="AM25" s="11">
        <f t="shared" si="84"/>
        <v>2025</v>
      </c>
      <c r="AN25" s="11">
        <f t="shared" si="84"/>
        <v>2025</v>
      </c>
      <c r="AO25" s="11">
        <f t="shared" si="84"/>
        <v>2025</v>
      </c>
      <c r="AP25" s="11">
        <f t="shared" si="84"/>
        <v>2025</v>
      </c>
      <c r="AQ25" s="11">
        <f t="shared" si="84"/>
        <v>2025</v>
      </c>
      <c r="AR25" s="11">
        <f t="shared" si="84"/>
        <v>2025</v>
      </c>
      <c r="AS25" s="11">
        <f t="shared" si="84"/>
        <v>2025</v>
      </c>
      <c r="AT25" s="12">
        <f t="shared" ref="AT25:BE25" si="85">$G$17*$AC$1*$AF$1</f>
        <v>1800</v>
      </c>
      <c r="AU25" s="12">
        <f t="shared" si="85"/>
        <v>1800</v>
      </c>
      <c r="AV25" s="12">
        <f t="shared" si="85"/>
        <v>1800</v>
      </c>
      <c r="AW25" s="12">
        <f t="shared" si="85"/>
        <v>1800</v>
      </c>
      <c r="AX25" s="12">
        <f t="shared" si="85"/>
        <v>1800</v>
      </c>
      <c r="AY25" s="12">
        <f t="shared" si="85"/>
        <v>1800</v>
      </c>
      <c r="AZ25" s="12">
        <f t="shared" si="85"/>
        <v>1800</v>
      </c>
      <c r="BA25" s="12">
        <f t="shared" si="85"/>
        <v>1800</v>
      </c>
      <c r="BB25" s="12">
        <f t="shared" si="85"/>
        <v>1800</v>
      </c>
      <c r="BC25" s="12">
        <f t="shared" si="85"/>
        <v>1800</v>
      </c>
      <c r="BD25" s="12">
        <f t="shared" si="85"/>
        <v>1800</v>
      </c>
      <c r="BE25" s="12">
        <f t="shared" si="85"/>
        <v>1800</v>
      </c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13"/>
      <c r="BV25" s="9"/>
      <c r="BW25" s="9"/>
      <c r="BX25" s="9"/>
      <c r="BY25" s="9"/>
      <c r="BZ25" s="9"/>
      <c r="CA25" s="9"/>
      <c r="CB25" s="9"/>
      <c r="CC25" s="9"/>
    </row>
    <row r="26" spans="1:81" x14ac:dyDescent="0.2">
      <c r="A26" s="58"/>
      <c r="B26" s="1" t="s">
        <v>8</v>
      </c>
      <c r="C26" s="10"/>
      <c r="J26" s="10"/>
      <c r="K26" s="10"/>
      <c r="P26" s="10"/>
      <c r="Q26" s="10"/>
      <c r="R26" s="10"/>
      <c r="S26" s="10"/>
      <c r="T26" s="10"/>
      <c r="U26" s="10"/>
      <c r="V26" s="10"/>
      <c r="W26" s="10">
        <f t="shared" ref="W26:AH26" si="86">$G$17*$E$1*$H$1</f>
        <v>8250</v>
      </c>
      <c r="X26" s="10">
        <f t="shared" si="86"/>
        <v>8250</v>
      </c>
      <c r="Y26" s="10">
        <f t="shared" si="86"/>
        <v>8250</v>
      </c>
      <c r="Z26" s="10">
        <f t="shared" si="86"/>
        <v>8250</v>
      </c>
      <c r="AA26" s="10">
        <f t="shared" si="86"/>
        <v>8250</v>
      </c>
      <c r="AB26" s="10">
        <f t="shared" si="86"/>
        <v>8250</v>
      </c>
      <c r="AC26" s="10">
        <f t="shared" si="86"/>
        <v>8250</v>
      </c>
      <c r="AD26" s="10">
        <f t="shared" si="86"/>
        <v>8250</v>
      </c>
      <c r="AE26" s="10">
        <f t="shared" si="86"/>
        <v>8250</v>
      </c>
      <c r="AF26" s="10">
        <f t="shared" si="86"/>
        <v>8250</v>
      </c>
      <c r="AG26" s="10">
        <f t="shared" si="86"/>
        <v>8250</v>
      </c>
      <c r="AH26" s="10">
        <f t="shared" si="86"/>
        <v>8250</v>
      </c>
      <c r="AI26" s="11">
        <f t="shared" ref="AI26:AT26" si="87">$G$17*$Q$1*$T$1</f>
        <v>2025</v>
      </c>
      <c r="AJ26" s="11">
        <f t="shared" si="87"/>
        <v>2025</v>
      </c>
      <c r="AK26" s="11">
        <f t="shared" si="87"/>
        <v>2025</v>
      </c>
      <c r="AL26" s="11">
        <f t="shared" si="87"/>
        <v>2025</v>
      </c>
      <c r="AM26" s="11">
        <f t="shared" si="87"/>
        <v>2025</v>
      </c>
      <c r="AN26" s="11">
        <f t="shared" si="87"/>
        <v>2025</v>
      </c>
      <c r="AO26" s="11">
        <f t="shared" si="87"/>
        <v>2025</v>
      </c>
      <c r="AP26" s="11">
        <f t="shared" si="87"/>
        <v>2025</v>
      </c>
      <c r="AQ26" s="11">
        <f t="shared" si="87"/>
        <v>2025</v>
      </c>
      <c r="AR26" s="11">
        <f t="shared" si="87"/>
        <v>2025</v>
      </c>
      <c r="AS26" s="11">
        <f t="shared" si="87"/>
        <v>2025</v>
      </c>
      <c r="AT26" s="11">
        <f t="shared" si="87"/>
        <v>2025</v>
      </c>
      <c r="AU26" s="12">
        <f t="shared" ref="AU26:BF26" si="88">$G$17*$AC$1*$AF$1</f>
        <v>1800</v>
      </c>
      <c r="AV26" s="12">
        <f t="shared" si="88"/>
        <v>1800</v>
      </c>
      <c r="AW26" s="12">
        <f t="shared" si="88"/>
        <v>1800</v>
      </c>
      <c r="AX26" s="12">
        <f t="shared" si="88"/>
        <v>1800</v>
      </c>
      <c r="AY26" s="12">
        <f t="shared" si="88"/>
        <v>1800</v>
      </c>
      <c r="AZ26" s="12">
        <f t="shared" si="88"/>
        <v>1800</v>
      </c>
      <c r="BA26" s="12">
        <f t="shared" si="88"/>
        <v>1800</v>
      </c>
      <c r="BB26" s="12">
        <f t="shared" si="88"/>
        <v>1800</v>
      </c>
      <c r="BC26" s="12">
        <f t="shared" si="88"/>
        <v>1800</v>
      </c>
      <c r="BD26" s="12">
        <f t="shared" si="88"/>
        <v>1800</v>
      </c>
      <c r="BE26" s="12">
        <f t="shared" si="88"/>
        <v>1800</v>
      </c>
      <c r="BF26" s="12">
        <f t="shared" si="88"/>
        <v>1800</v>
      </c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13"/>
      <c r="BV26" s="9"/>
      <c r="BW26" s="9"/>
      <c r="BX26" s="9"/>
      <c r="BY26" s="9"/>
      <c r="BZ26" s="9"/>
      <c r="CA26" s="9"/>
      <c r="CB26" s="9"/>
      <c r="CC26" s="9"/>
    </row>
    <row r="27" spans="1:81" x14ac:dyDescent="0.2">
      <c r="A27" s="58"/>
      <c r="B27" s="1" t="s">
        <v>9</v>
      </c>
      <c r="C27" s="10"/>
      <c r="J27" s="10"/>
      <c r="K27" s="10"/>
      <c r="P27" s="10"/>
      <c r="Q27" s="10"/>
      <c r="R27" s="10"/>
      <c r="S27" s="10"/>
      <c r="T27" s="10"/>
      <c r="U27" s="10"/>
      <c r="V27" s="10"/>
      <c r="W27" s="10"/>
      <c r="X27" s="10">
        <f t="shared" ref="X27:AI27" si="89">$G$17*$E$1*$H$1</f>
        <v>8250</v>
      </c>
      <c r="Y27" s="10">
        <f t="shared" si="89"/>
        <v>8250</v>
      </c>
      <c r="Z27" s="10">
        <f t="shared" si="89"/>
        <v>8250</v>
      </c>
      <c r="AA27" s="10">
        <f t="shared" si="89"/>
        <v>8250</v>
      </c>
      <c r="AB27" s="10">
        <f t="shared" si="89"/>
        <v>8250</v>
      </c>
      <c r="AC27" s="10">
        <f t="shared" si="89"/>
        <v>8250</v>
      </c>
      <c r="AD27" s="10">
        <f t="shared" si="89"/>
        <v>8250</v>
      </c>
      <c r="AE27" s="10">
        <f t="shared" si="89"/>
        <v>8250</v>
      </c>
      <c r="AF27" s="10">
        <f t="shared" si="89"/>
        <v>8250</v>
      </c>
      <c r="AG27" s="10">
        <f t="shared" si="89"/>
        <v>8250</v>
      </c>
      <c r="AH27" s="10">
        <f t="shared" si="89"/>
        <v>8250</v>
      </c>
      <c r="AI27" s="10">
        <f t="shared" si="89"/>
        <v>8250</v>
      </c>
      <c r="AJ27" s="11">
        <f t="shared" ref="AJ27:AU27" si="90">$G$17*$Q$1*$T$1</f>
        <v>2025</v>
      </c>
      <c r="AK27" s="11">
        <f t="shared" si="90"/>
        <v>2025</v>
      </c>
      <c r="AL27" s="11">
        <f t="shared" si="90"/>
        <v>2025</v>
      </c>
      <c r="AM27" s="11">
        <f t="shared" si="90"/>
        <v>2025</v>
      </c>
      <c r="AN27" s="11">
        <f t="shared" si="90"/>
        <v>2025</v>
      </c>
      <c r="AO27" s="11">
        <f t="shared" si="90"/>
        <v>2025</v>
      </c>
      <c r="AP27" s="11">
        <f t="shared" si="90"/>
        <v>2025</v>
      </c>
      <c r="AQ27" s="11">
        <f t="shared" si="90"/>
        <v>2025</v>
      </c>
      <c r="AR27" s="11">
        <f t="shared" si="90"/>
        <v>2025</v>
      </c>
      <c r="AS27" s="11">
        <f t="shared" si="90"/>
        <v>2025</v>
      </c>
      <c r="AT27" s="11">
        <f t="shared" si="90"/>
        <v>2025</v>
      </c>
      <c r="AU27" s="11">
        <f t="shared" si="90"/>
        <v>2025</v>
      </c>
      <c r="AV27" s="12">
        <f t="shared" ref="AV27:BG27" si="91">$G$17*$AC$1*$AF$1</f>
        <v>1800</v>
      </c>
      <c r="AW27" s="12">
        <f t="shared" si="91"/>
        <v>1800</v>
      </c>
      <c r="AX27" s="12">
        <f t="shared" si="91"/>
        <v>1800</v>
      </c>
      <c r="AY27" s="12">
        <f t="shared" si="91"/>
        <v>1800</v>
      </c>
      <c r="AZ27" s="12">
        <f t="shared" si="91"/>
        <v>1800</v>
      </c>
      <c r="BA27" s="12">
        <f t="shared" si="91"/>
        <v>1800</v>
      </c>
      <c r="BB27" s="12">
        <f t="shared" si="91"/>
        <v>1800</v>
      </c>
      <c r="BC27" s="12">
        <f t="shared" si="91"/>
        <v>1800</v>
      </c>
      <c r="BD27" s="12">
        <f t="shared" si="91"/>
        <v>1800</v>
      </c>
      <c r="BE27" s="12">
        <f t="shared" si="91"/>
        <v>1800</v>
      </c>
      <c r="BF27" s="12">
        <f t="shared" si="91"/>
        <v>1800</v>
      </c>
      <c r="BG27" s="12">
        <f t="shared" si="91"/>
        <v>1800</v>
      </c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13"/>
      <c r="BV27" s="9"/>
      <c r="BW27" s="9"/>
      <c r="BX27" s="9"/>
      <c r="BY27" s="9"/>
      <c r="BZ27" s="9"/>
      <c r="CA27" s="9"/>
      <c r="CB27" s="9"/>
      <c r="CC27" s="9"/>
    </row>
    <row r="28" spans="1:81" x14ac:dyDescent="0.2">
      <c r="A28" s="58"/>
      <c r="B28" s="1" t="s">
        <v>10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>
        <f t="shared" ref="Y28:AJ28" si="92">$G$17*$E$1*$H$1</f>
        <v>8250</v>
      </c>
      <c r="Z28" s="10">
        <f t="shared" si="92"/>
        <v>8250</v>
      </c>
      <c r="AA28" s="10">
        <f t="shared" si="92"/>
        <v>8250</v>
      </c>
      <c r="AB28" s="10">
        <f t="shared" si="92"/>
        <v>8250</v>
      </c>
      <c r="AC28" s="10">
        <f t="shared" si="92"/>
        <v>8250</v>
      </c>
      <c r="AD28" s="10">
        <f t="shared" si="92"/>
        <v>8250</v>
      </c>
      <c r="AE28" s="10">
        <f t="shared" si="92"/>
        <v>8250</v>
      </c>
      <c r="AF28" s="10">
        <f t="shared" si="92"/>
        <v>8250</v>
      </c>
      <c r="AG28" s="10">
        <f t="shared" si="92"/>
        <v>8250</v>
      </c>
      <c r="AH28" s="10">
        <f t="shared" si="92"/>
        <v>8250</v>
      </c>
      <c r="AI28" s="10">
        <f t="shared" si="92"/>
        <v>8250</v>
      </c>
      <c r="AJ28" s="10">
        <f t="shared" si="92"/>
        <v>8250</v>
      </c>
      <c r="AK28" s="11">
        <f t="shared" ref="AK28:AV28" si="93">$G$17*$Q$1*$T$1</f>
        <v>2025</v>
      </c>
      <c r="AL28" s="11">
        <f t="shared" si="93"/>
        <v>2025</v>
      </c>
      <c r="AM28" s="11">
        <f t="shared" si="93"/>
        <v>2025</v>
      </c>
      <c r="AN28" s="11">
        <f t="shared" si="93"/>
        <v>2025</v>
      </c>
      <c r="AO28" s="11">
        <f t="shared" si="93"/>
        <v>2025</v>
      </c>
      <c r="AP28" s="11">
        <f t="shared" si="93"/>
        <v>2025</v>
      </c>
      <c r="AQ28" s="11">
        <f t="shared" si="93"/>
        <v>2025</v>
      </c>
      <c r="AR28" s="11">
        <f t="shared" si="93"/>
        <v>2025</v>
      </c>
      <c r="AS28" s="11">
        <f t="shared" si="93"/>
        <v>2025</v>
      </c>
      <c r="AT28" s="11">
        <f t="shared" si="93"/>
        <v>2025</v>
      </c>
      <c r="AU28" s="11">
        <f t="shared" si="93"/>
        <v>2025</v>
      </c>
      <c r="AV28" s="11">
        <f t="shared" si="93"/>
        <v>2025</v>
      </c>
      <c r="AW28" s="12">
        <f t="shared" ref="AW28:BH28" si="94">$G$17*$AC$1*$AF$1</f>
        <v>1800</v>
      </c>
      <c r="AX28" s="12">
        <f t="shared" si="94"/>
        <v>1800</v>
      </c>
      <c r="AY28" s="12">
        <f t="shared" si="94"/>
        <v>1800</v>
      </c>
      <c r="AZ28" s="12">
        <f t="shared" si="94"/>
        <v>1800</v>
      </c>
      <c r="BA28" s="12">
        <f t="shared" si="94"/>
        <v>1800</v>
      </c>
      <c r="BB28" s="12">
        <f t="shared" si="94"/>
        <v>1800</v>
      </c>
      <c r="BC28" s="12">
        <f t="shared" si="94"/>
        <v>1800</v>
      </c>
      <c r="BD28" s="12">
        <f t="shared" si="94"/>
        <v>1800</v>
      </c>
      <c r="BE28" s="12">
        <f t="shared" si="94"/>
        <v>1800</v>
      </c>
      <c r="BF28" s="12">
        <f t="shared" si="94"/>
        <v>1800</v>
      </c>
      <c r="BG28" s="12">
        <f t="shared" si="94"/>
        <v>1800</v>
      </c>
      <c r="BH28" s="12">
        <f t="shared" si="94"/>
        <v>1800</v>
      </c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13"/>
      <c r="BV28" s="9"/>
      <c r="BW28" s="9"/>
      <c r="BX28" s="9"/>
      <c r="BY28" s="9"/>
      <c r="BZ28" s="9"/>
      <c r="CA28" s="9"/>
      <c r="CB28" s="9"/>
      <c r="CC28" s="9"/>
    </row>
    <row r="29" spans="1:81" ht="13.5" thickBot="1" x14ac:dyDescent="0.25">
      <c r="A29" s="58"/>
      <c r="B29" s="1" t="s">
        <v>11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>
        <f t="shared" ref="Z29:AK29" si="95">$G$17*$E$1*$H$1</f>
        <v>8250</v>
      </c>
      <c r="AA29" s="15">
        <f t="shared" si="95"/>
        <v>8250</v>
      </c>
      <c r="AB29" s="15">
        <f t="shared" si="95"/>
        <v>8250</v>
      </c>
      <c r="AC29" s="15">
        <f t="shared" si="95"/>
        <v>8250</v>
      </c>
      <c r="AD29" s="15">
        <f t="shared" si="95"/>
        <v>8250</v>
      </c>
      <c r="AE29" s="15">
        <f t="shared" si="95"/>
        <v>8250</v>
      </c>
      <c r="AF29" s="15">
        <f t="shared" si="95"/>
        <v>8250</v>
      </c>
      <c r="AG29" s="15">
        <f t="shared" si="95"/>
        <v>8250</v>
      </c>
      <c r="AH29" s="15">
        <f t="shared" si="95"/>
        <v>8250</v>
      </c>
      <c r="AI29" s="15">
        <f t="shared" si="95"/>
        <v>8250</v>
      </c>
      <c r="AJ29" s="15">
        <f t="shared" si="95"/>
        <v>8250</v>
      </c>
      <c r="AK29" s="15">
        <f t="shared" si="95"/>
        <v>8250</v>
      </c>
      <c r="AL29" s="16">
        <f t="shared" ref="AL29:AW29" si="96">$G$17*$Q$1*$T$1</f>
        <v>2025</v>
      </c>
      <c r="AM29" s="16">
        <f t="shared" si="96"/>
        <v>2025</v>
      </c>
      <c r="AN29" s="16">
        <f t="shared" si="96"/>
        <v>2025</v>
      </c>
      <c r="AO29" s="16">
        <f t="shared" si="96"/>
        <v>2025</v>
      </c>
      <c r="AP29" s="16">
        <f t="shared" si="96"/>
        <v>2025</v>
      </c>
      <c r="AQ29" s="16">
        <f t="shared" si="96"/>
        <v>2025</v>
      </c>
      <c r="AR29" s="16">
        <f t="shared" si="96"/>
        <v>2025</v>
      </c>
      <c r="AS29" s="16">
        <f t="shared" si="96"/>
        <v>2025</v>
      </c>
      <c r="AT29" s="16">
        <f t="shared" si="96"/>
        <v>2025</v>
      </c>
      <c r="AU29" s="16">
        <f t="shared" si="96"/>
        <v>2025</v>
      </c>
      <c r="AV29" s="16">
        <f t="shared" si="96"/>
        <v>2025</v>
      </c>
      <c r="AW29" s="16">
        <f t="shared" si="96"/>
        <v>2025</v>
      </c>
      <c r="AX29" s="17">
        <f t="shared" ref="AX29:BI29" si="97">$G$17*$AC$1*$AF$1</f>
        <v>1800</v>
      </c>
      <c r="AY29" s="17">
        <f t="shared" si="97"/>
        <v>1800</v>
      </c>
      <c r="AZ29" s="17">
        <f t="shared" si="97"/>
        <v>1800</v>
      </c>
      <c r="BA29" s="17">
        <f t="shared" si="97"/>
        <v>1800</v>
      </c>
      <c r="BB29" s="17">
        <f t="shared" si="97"/>
        <v>1800</v>
      </c>
      <c r="BC29" s="17">
        <f t="shared" si="97"/>
        <v>1800</v>
      </c>
      <c r="BD29" s="17">
        <f t="shared" si="97"/>
        <v>1800</v>
      </c>
      <c r="BE29" s="17">
        <f t="shared" si="97"/>
        <v>1800</v>
      </c>
      <c r="BF29" s="17">
        <f t="shared" si="97"/>
        <v>1800</v>
      </c>
      <c r="BG29" s="17">
        <f t="shared" si="97"/>
        <v>1800</v>
      </c>
      <c r="BH29" s="17">
        <f t="shared" si="97"/>
        <v>1800</v>
      </c>
      <c r="BI29" s="17">
        <f t="shared" si="97"/>
        <v>1800</v>
      </c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8"/>
      <c r="BV29" s="9"/>
      <c r="BW29" s="9"/>
      <c r="BX29" s="9"/>
      <c r="BY29" s="9"/>
      <c r="BZ29" s="9"/>
      <c r="CA29" s="9"/>
      <c r="CB29" s="9"/>
      <c r="CC29" s="9"/>
    </row>
    <row r="30" spans="1:81" x14ac:dyDescent="0.2">
      <c r="A30" s="57" t="s">
        <v>14</v>
      </c>
      <c r="B30" s="24" t="s">
        <v>0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19"/>
      <c r="Z30" s="19"/>
      <c r="AA30" s="5">
        <f t="shared" ref="AA30:AL30" si="98">$G$17*$E$1*$H$1</f>
        <v>8250</v>
      </c>
      <c r="AB30" s="5">
        <f t="shared" si="98"/>
        <v>8250</v>
      </c>
      <c r="AC30" s="5">
        <f t="shared" si="98"/>
        <v>8250</v>
      </c>
      <c r="AD30" s="5">
        <f t="shared" si="98"/>
        <v>8250</v>
      </c>
      <c r="AE30" s="5">
        <f t="shared" si="98"/>
        <v>8250</v>
      </c>
      <c r="AF30" s="5">
        <f t="shared" si="98"/>
        <v>8250</v>
      </c>
      <c r="AG30" s="5">
        <f t="shared" si="98"/>
        <v>8250</v>
      </c>
      <c r="AH30" s="5">
        <f t="shared" si="98"/>
        <v>8250</v>
      </c>
      <c r="AI30" s="5">
        <f t="shared" si="98"/>
        <v>8250</v>
      </c>
      <c r="AJ30" s="5">
        <f t="shared" si="98"/>
        <v>8250</v>
      </c>
      <c r="AK30" s="5">
        <f t="shared" si="98"/>
        <v>8250</v>
      </c>
      <c r="AL30" s="5">
        <f t="shared" si="98"/>
        <v>8250</v>
      </c>
      <c r="AM30" s="6">
        <f t="shared" ref="AM30:AX30" si="99">$G$17*$Q$1*$T$1</f>
        <v>2025</v>
      </c>
      <c r="AN30" s="6">
        <f t="shared" si="99"/>
        <v>2025</v>
      </c>
      <c r="AO30" s="6">
        <f t="shared" si="99"/>
        <v>2025</v>
      </c>
      <c r="AP30" s="6">
        <f t="shared" si="99"/>
        <v>2025</v>
      </c>
      <c r="AQ30" s="6">
        <f t="shared" si="99"/>
        <v>2025</v>
      </c>
      <c r="AR30" s="6">
        <f t="shared" si="99"/>
        <v>2025</v>
      </c>
      <c r="AS30" s="6">
        <f t="shared" si="99"/>
        <v>2025</v>
      </c>
      <c r="AT30" s="6">
        <f t="shared" si="99"/>
        <v>2025</v>
      </c>
      <c r="AU30" s="6">
        <f t="shared" si="99"/>
        <v>2025</v>
      </c>
      <c r="AV30" s="6">
        <f t="shared" si="99"/>
        <v>2025</v>
      </c>
      <c r="AW30" s="6">
        <f t="shared" si="99"/>
        <v>2025</v>
      </c>
      <c r="AX30" s="6">
        <f t="shared" si="99"/>
        <v>2025</v>
      </c>
      <c r="AY30" s="7">
        <f t="shared" ref="AY30:BJ30" si="100">$G$17*$AC$1*$AF$1</f>
        <v>1800</v>
      </c>
      <c r="AZ30" s="7">
        <f t="shared" si="100"/>
        <v>1800</v>
      </c>
      <c r="BA30" s="7">
        <f t="shared" si="100"/>
        <v>1800</v>
      </c>
      <c r="BB30" s="7">
        <f t="shared" si="100"/>
        <v>1800</v>
      </c>
      <c r="BC30" s="7">
        <f t="shared" si="100"/>
        <v>1800</v>
      </c>
      <c r="BD30" s="7">
        <f t="shared" si="100"/>
        <v>1800</v>
      </c>
      <c r="BE30" s="7">
        <f t="shared" si="100"/>
        <v>1800</v>
      </c>
      <c r="BF30" s="7">
        <f t="shared" si="100"/>
        <v>1800</v>
      </c>
      <c r="BG30" s="7">
        <f t="shared" si="100"/>
        <v>1800</v>
      </c>
      <c r="BH30" s="7">
        <f t="shared" si="100"/>
        <v>1800</v>
      </c>
      <c r="BI30" s="7">
        <f t="shared" si="100"/>
        <v>1800</v>
      </c>
      <c r="BJ30" s="7">
        <f t="shared" si="100"/>
        <v>1800</v>
      </c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8"/>
    </row>
    <row r="31" spans="1:81" x14ac:dyDescent="0.2">
      <c r="A31" s="58"/>
      <c r="B31" s="25" t="s">
        <v>1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20"/>
      <c r="AA31" s="10"/>
      <c r="AB31" s="10">
        <f t="shared" ref="AB31:AM31" si="101">$G$17*$E$1*$H$1</f>
        <v>8250</v>
      </c>
      <c r="AC31" s="10">
        <f t="shared" si="101"/>
        <v>8250</v>
      </c>
      <c r="AD31" s="10">
        <f t="shared" si="101"/>
        <v>8250</v>
      </c>
      <c r="AE31" s="10">
        <f t="shared" si="101"/>
        <v>8250</v>
      </c>
      <c r="AF31" s="10">
        <f t="shared" si="101"/>
        <v>8250</v>
      </c>
      <c r="AG31" s="10">
        <f t="shared" si="101"/>
        <v>8250</v>
      </c>
      <c r="AH31" s="10">
        <f t="shared" si="101"/>
        <v>8250</v>
      </c>
      <c r="AI31" s="10">
        <f t="shared" si="101"/>
        <v>8250</v>
      </c>
      <c r="AJ31" s="10">
        <f t="shared" si="101"/>
        <v>8250</v>
      </c>
      <c r="AK31" s="10">
        <f t="shared" si="101"/>
        <v>8250</v>
      </c>
      <c r="AL31" s="10">
        <f t="shared" si="101"/>
        <v>8250</v>
      </c>
      <c r="AM31" s="10">
        <f t="shared" si="101"/>
        <v>8250</v>
      </c>
      <c r="AN31" s="11">
        <f t="shared" ref="AN31:AY31" si="102">$G$17*$Q$1*$T$1</f>
        <v>2025</v>
      </c>
      <c r="AO31" s="11">
        <f t="shared" si="102"/>
        <v>2025</v>
      </c>
      <c r="AP31" s="11">
        <f t="shared" si="102"/>
        <v>2025</v>
      </c>
      <c r="AQ31" s="11">
        <f t="shared" si="102"/>
        <v>2025</v>
      </c>
      <c r="AR31" s="11">
        <f t="shared" si="102"/>
        <v>2025</v>
      </c>
      <c r="AS31" s="11">
        <f t="shared" si="102"/>
        <v>2025</v>
      </c>
      <c r="AT31" s="11">
        <f t="shared" si="102"/>
        <v>2025</v>
      </c>
      <c r="AU31" s="11">
        <f t="shared" si="102"/>
        <v>2025</v>
      </c>
      <c r="AV31" s="11">
        <f t="shared" si="102"/>
        <v>2025</v>
      </c>
      <c r="AW31" s="11">
        <f t="shared" si="102"/>
        <v>2025</v>
      </c>
      <c r="AX31" s="11">
        <f t="shared" si="102"/>
        <v>2025</v>
      </c>
      <c r="AY31" s="11">
        <f t="shared" si="102"/>
        <v>2025</v>
      </c>
      <c r="AZ31" s="12">
        <f t="shared" ref="AZ31:BK31" si="103">$G$17*$AC$1*$AF$1</f>
        <v>1800</v>
      </c>
      <c r="BA31" s="12">
        <f t="shared" si="103"/>
        <v>1800</v>
      </c>
      <c r="BB31" s="12">
        <f t="shared" si="103"/>
        <v>1800</v>
      </c>
      <c r="BC31" s="12">
        <f t="shared" si="103"/>
        <v>1800</v>
      </c>
      <c r="BD31" s="12">
        <f t="shared" si="103"/>
        <v>1800</v>
      </c>
      <c r="BE31" s="12">
        <f t="shared" si="103"/>
        <v>1800</v>
      </c>
      <c r="BF31" s="12">
        <f t="shared" si="103"/>
        <v>1800</v>
      </c>
      <c r="BG31" s="12">
        <f t="shared" si="103"/>
        <v>1800</v>
      </c>
      <c r="BH31" s="12">
        <f t="shared" si="103"/>
        <v>1800</v>
      </c>
      <c r="BI31" s="12">
        <f t="shared" si="103"/>
        <v>1800</v>
      </c>
      <c r="BJ31" s="12">
        <f t="shared" si="103"/>
        <v>1800</v>
      </c>
      <c r="BK31" s="12">
        <f t="shared" si="103"/>
        <v>1800</v>
      </c>
      <c r="BL31" s="9"/>
      <c r="BM31" s="9"/>
      <c r="BN31" s="9"/>
      <c r="BO31" s="9"/>
      <c r="BP31" s="9"/>
      <c r="BQ31" s="9"/>
      <c r="BR31" s="9"/>
      <c r="BS31" s="9"/>
      <c r="BT31" s="9"/>
      <c r="BU31" s="13"/>
    </row>
    <row r="32" spans="1:81" x14ac:dyDescent="0.2">
      <c r="A32" s="58"/>
      <c r="B32" s="25" t="s">
        <v>2</v>
      </c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>
        <f t="shared" ref="AC32:AN32" si="104">$G$17*$E$1*$H$1</f>
        <v>8250</v>
      </c>
      <c r="AD32" s="10">
        <f t="shared" si="104"/>
        <v>8250</v>
      </c>
      <c r="AE32" s="10">
        <f t="shared" si="104"/>
        <v>8250</v>
      </c>
      <c r="AF32" s="10">
        <f t="shared" si="104"/>
        <v>8250</v>
      </c>
      <c r="AG32" s="10">
        <f t="shared" si="104"/>
        <v>8250</v>
      </c>
      <c r="AH32" s="10">
        <f t="shared" si="104"/>
        <v>8250</v>
      </c>
      <c r="AI32" s="10">
        <f t="shared" si="104"/>
        <v>8250</v>
      </c>
      <c r="AJ32" s="10">
        <f t="shared" si="104"/>
        <v>8250</v>
      </c>
      <c r="AK32" s="10">
        <f t="shared" si="104"/>
        <v>8250</v>
      </c>
      <c r="AL32" s="10">
        <f t="shared" si="104"/>
        <v>8250</v>
      </c>
      <c r="AM32" s="10">
        <f t="shared" si="104"/>
        <v>8250</v>
      </c>
      <c r="AN32" s="10">
        <f t="shared" si="104"/>
        <v>8250</v>
      </c>
      <c r="AO32" s="11">
        <f t="shared" ref="AO32:AZ32" si="105">$G$17*$Q$1*$T$1</f>
        <v>2025</v>
      </c>
      <c r="AP32" s="11">
        <f t="shared" si="105"/>
        <v>2025</v>
      </c>
      <c r="AQ32" s="11">
        <f t="shared" si="105"/>
        <v>2025</v>
      </c>
      <c r="AR32" s="11">
        <f t="shared" si="105"/>
        <v>2025</v>
      </c>
      <c r="AS32" s="11">
        <f t="shared" si="105"/>
        <v>2025</v>
      </c>
      <c r="AT32" s="11">
        <f t="shared" si="105"/>
        <v>2025</v>
      </c>
      <c r="AU32" s="11">
        <f t="shared" si="105"/>
        <v>2025</v>
      </c>
      <c r="AV32" s="11">
        <f t="shared" si="105"/>
        <v>2025</v>
      </c>
      <c r="AW32" s="11">
        <f t="shared" si="105"/>
        <v>2025</v>
      </c>
      <c r="AX32" s="11">
        <f t="shared" si="105"/>
        <v>2025</v>
      </c>
      <c r="AY32" s="11">
        <f t="shared" si="105"/>
        <v>2025</v>
      </c>
      <c r="AZ32" s="11">
        <f t="shared" si="105"/>
        <v>2025</v>
      </c>
      <c r="BA32" s="12">
        <f t="shared" ref="BA32:BL32" si="106">$G$17*$AC$1*$AF$1</f>
        <v>1800</v>
      </c>
      <c r="BB32" s="12">
        <f t="shared" si="106"/>
        <v>1800</v>
      </c>
      <c r="BC32" s="12">
        <f t="shared" si="106"/>
        <v>1800</v>
      </c>
      <c r="BD32" s="12">
        <f t="shared" si="106"/>
        <v>1800</v>
      </c>
      <c r="BE32" s="12">
        <f t="shared" si="106"/>
        <v>1800</v>
      </c>
      <c r="BF32" s="12">
        <f t="shared" si="106"/>
        <v>1800</v>
      </c>
      <c r="BG32" s="12">
        <f t="shared" si="106"/>
        <v>1800</v>
      </c>
      <c r="BH32" s="12">
        <f t="shared" si="106"/>
        <v>1800</v>
      </c>
      <c r="BI32" s="12">
        <f t="shared" si="106"/>
        <v>1800</v>
      </c>
      <c r="BJ32" s="12">
        <f t="shared" si="106"/>
        <v>1800</v>
      </c>
      <c r="BK32" s="12">
        <f t="shared" si="106"/>
        <v>1800</v>
      </c>
      <c r="BL32" s="12">
        <f t="shared" si="106"/>
        <v>1800</v>
      </c>
      <c r="BM32" s="9"/>
      <c r="BN32" s="9"/>
      <c r="BO32" s="9"/>
      <c r="BP32" s="9"/>
      <c r="BQ32" s="9"/>
      <c r="BR32" s="9"/>
      <c r="BS32" s="9"/>
      <c r="BT32" s="9"/>
      <c r="BU32" s="13"/>
    </row>
    <row r="33" spans="1:73" x14ac:dyDescent="0.2">
      <c r="A33" s="58"/>
      <c r="B33" s="25" t="s">
        <v>3</v>
      </c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20"/>
      <c r="AA33" s="10"/>
      <c r="AB33" s="10"/>
      <c r="AC33" s="10"/>
      <c r="AD33" s="10">
        <f t="shared" ref="AD33:AO33" si="107">$G$17*$E$1*$H$1</f>
        <v>8250</v>
      </c>
      <c r="AE33" s="10">
        <f t="shared" si="107"/>
        <v>8250</v>
      </c>
      <c r="AF33" s="10">
        <f t="shared" si="107"/>
        <v>8250</v>
      </c>
      <c r="AG33" s="10">
        <f t="shared" si="107"/>
        <v>8250</v>
      </c>
      <c r="AH33" s="10">
        <f t="shared" si="107"/>
        <v>8250</v>
      </c>
      <c r="AI33" s="10">
        <f t="shared" si="107"/>
        <v>8250</v>
      </c>
      <c r="AJ33" s="10">
        <f t="shared" si="107"/>
        <v>8250</v>
      </c>
      <c r="AK33" s="10">
        <f t="shared" si="107"/>
        <v>8250</v>
      </c>
      <c r="AL33" s="10">
        <f t="shared" si="107"/>
        <v>8250</v>
      </c>
      <c r="AM33" s="10">
        <f t="shared" si="107"/>
        <v>8250</v>
      </c>
      <c r="AN33" s="10">
        <f t="shared" si="107"/>
        <v>8250</v>
      </c>
      <c r="AO33" s="10">
        <f t="shared" si="107"/>
        <v>8250</v>
      </c>
      <c r="AP33" s="11">
        <f t="shared" ref="AP33:BA33" si="108">$G$17*$Q$1*$T$1</f>
        <v>2025</v>
      </c>
      <c r="AQ33" s="11">
        <f t="shared" si="108"/>
        <v>2025</v>
      </c>
      <c r="AR33" s="11">
        <f t="shared" si="108"/>
        <v>2025</v>
      </c>
      <c r="AS33" s="11">
        <f t="shared" si="108"/>
        <v>2025</v>
      </c>
      <c r="AT33" s="11">
        <f t="shared" si="108"/>
        <v>2025</v>
      </c>
      <c r="AU33" s="11">
        <f t="shared" si="108"/>
        <v>2025</v>
      </c>
      <c r="AV33" s="11">
        <f t="shared" si="108"/>
        <v>2025</v>
      </c>
      <c r="AW33" s="11">
        <f t="shared" si="108"/>
        <v>2025</v>
      </c>
      <c r="AX33" s="11">
        <f t="shared" si="108"/>
        <v>2025</v>
      </c>
      <c r="AY33" s="11">
        <f t="shared" si="108"/>
        <v>2025</v>
      </c>
      <c r="AZ33" s="11">
        <f t="shared" si="108"/>
        <v>2025</v>
      </c>
      <c r="BA33" s="11">
        <f t="shared" si="108"/>
        <v>2025</v>
      </c>
      <c r="BB33" s="12">
        <f t="shared" ref="BB33:BM33" si="109">$G$17*$AC$1*$AF$1</f>
        <v>1800</v>
      </c>
      <c r="BC33" s="12">
        <f t="shared" si="109"/>
        <v>1800</v>
      </c>
      <c r="BD33" s="12">
        <f t="shared" si="109"/>
        <v>1800</v>
      </c>
      <c r="BE33" s="12">
        <f t="shared" si="109"/>
        <v>1800</v>
      </c>
      <c r="BF33" s="12">
        <f t="shared" si="109"/>
        <v>1800</v>
      </c>
      <c r="BG33" s="12">
        <f t="shared" si="109"/>
        <v>1800</v>
      </c>
      <c r="BH33" s="12">
        <f t="shared" si="109"/>
        <v>1800</v>
      </c>
      <c r="BI33" s="12">
        <f t="shared" si="109"/>
        <v>1800</v>
      </c>
      <c r="BJ33" s="12">
        <f t="shared" si="109"/>
        <v>1800</v>
      </c>
      <c r="BK33" s="12">
        <f t="shared" si="109"/>
        <v>1800</v>
      </c>
      <c r="BL33" s="12">
        <f t="shared" si="109"/>
        <v>1800</v>
      </c>
      <c r="BM33" s="12">
        <f t="shared" si="109"/>
        <v>1800</v>
      </c>
      <c r="BN33" s="9"/>
      <c r="BO33" s="9"/>
      <c r="BP33" s="9"/>
      <c r="BQ33" s="9"/>
      <c r="BR33" s="9"/>
      <c r="BS33" s="9"/>
      <c r="BT33" s="9"/>
      <c r="BU33" s="13"/>
    </row>
    <row r="34" spans="1:73" x14ac:dyDescent="0.2">
      <c r="A34" s="58"/>
      <c r="B34" s="25" t="s">
        <v>4</v>
      </c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20"/>
      <c r="AA34" s="10"/>
      <c r="AB34" s="10"/>
      <c r="AC34" s="10"/>
      <c r="AD34" s="10"/>
      <c r="AE34" s="10">
        <f t="shared" ref="AE34:AP34" si="110">$G$17*$E$1*$H$1</f>
        <v>8250</v>
      </c>
      <c r="AF34" s="10">
        <f t="shared" si="110"/>
        <v>8250</v>
      </c>
      <c r="AG34" s="10">
        <f t="shared" si="110"/>
        <v>8250</v>
      </c>
      <c r="AH34" s="10">
        <f t="shared" si="110"/>
        <v>8250</v>
      </c>
      <c r="AI34" s="10">
        <f t="shared" si="110"/>
        <v>8250</v>
      </c>
      <c r="AJ34" s="10">
        <f t="shared" si="110"/>
        <v>8250</v>
      </c>
      <c r="AK34" s="10">
        <f t="shared" si="110"/>
        <v>8250</v>
      </c>
      <c r="AL34" s="10">
        <f t="shared" si="110"/>
        <v>8250</v>
      </c>
      <c r="AM34" s="10">
        <f t="shared" si="110"/>
        <v>8250</v>
      </c>
      <c r="AN34" s="10">
        <f t="shared" si="110"/>
        <v>8250</v>
      </c>
      <c r="AO34" s="10">
        <f t="shared" si="110"/>
        <v>8250</v>
      </c>
      <c r="AP34" s="10">
        <f t="shared" si="110"/>
        <v>8250</v>
      </c>
      <c r="AQ34" s="11">
        <f t="shared" ref="AQ34:BB34" si="111">$G$17*$Q$1*$T$1</f>
        <v>2025</v>
      </c>
      <c r="AR34" s="11">
        <f t="shared" si="111"/>
        <v>2025</v>
      </c>
      <c r="AS34" s="11">
        <f t="shared" si="111"/>
        <v>2025</v>
      </c>
      <c r="AT34" s="11">
        <f t="shared" si="111"/>
        <v>2025</v>
      </c>
      <c r="AU34" s="11">
        <f t="shared" si="111"/>
        <v>2025</v>
      </c>
      <c r="AV34" s="11">
        <f t="shared" si="111"/>
        <v>2025</v>
      </c>
      <c r="AW34" s="11">
        <f t="shared" si="111"/>
        <v>2025</v>
      </c>
      <c r="AX34" s="11">
        <f t="shared" si="111"/>
        <v>2025</v>
      </c>
      <c r="AY34" s="11">
        <f t="shared" si="111"/>
        <v>2025</v>
      </c>
      <c r="AZ34" s="11">
        <f t="shared" si="111"/>
        <v>2025</v>
      </c>
      <c r="BA34" s="11">
        <f t="shared" si="111"/>
        <v>2025</v>
      </c>
      <c r="BB34" s="11">
        <f t="shared" si="111"/>
        <v>2025</v>
      </c>
      <c r="BC34" s="12">
        <f t="shared" ref="BC34:BN34" si="112">$G$17*$AC$1*$AF$1</f>
        <v>1800</v>
      </c>
      <c r="BD34" s="12">
        <f t="shared" si="112"/>
        <v>1800</v>
      </c>
      <c r="BE34" s="12">
        <f t="shared" si="112"/>
        <v>1800</v>
      </c>
      <c r="BF34" s="12">
        <f t="shared" si="112"/>
        <v>1800</v>
      </c>
      <c r="BG34" s="12">
        <f t="shared" si="112"/>
        <v>1800</v>
      </c>
      <c r="BH34" s="12">
        <f t="shared" si="112"/>
        <v>1800</v>
      </c>
      <c r="BI34" s="12">
        <f t="shared" si="112"/>
        <v>1800</v>
      </c>
      <c r="BJ34" s="12">
        <f t="shared" si="112"/>
        <v>1800</v>
      </c>
      <c r="BK34" s="12">
        <f t="shared" si="112"/>
        <v>1800</v>
      </c>
      <c r="BL34" s="12">
        <f t="shared" si="112"/>
        <v>1800</v>
      </c>
      <c r="BM34" s="12">
        <f t="shared" si="112"/>
        <v>1800</v>
      </c>
      <c r="BN34" s="12">
        <f t="shared" si="112"/>
        <v>1800</v>
      </c>
      <c r="BO34" s="9"/>
      <c r="BP34" s="9"/>
      <c r="BQ34" s="9"/>
      <c r="BR34" s="9"/>
      <c r="BS34" s="9"/>
      <c r="BT34" s="9"/>
      <c r="BU34" s="13"/>
    </row>
    <row r="35" spans="1:73" x14ac:dyDescent="0.2">
      <c r="A35" s="58"/>
      <c r="B35" s="25" t="s">
        <v>5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20"/>
      <c r="AA35" s="10"/>
      <c r="AB35" s="10"/>
      <c r="AC35" s="10"/>
      <c r="AD35" s="10"/>
      <c r="AE35" s="10"/>
      <c r="AF35" s="10">
        <f t="shared" ref="AF35:AQ35" si="113">$G$17*$E$1*$H$1</f>
        <v>8250</v>
      </c>
      <c r="AG35" s="10">
        <f t="shared" si="113"/>
        <v>8250</v>
      </c>
      <c r="AH35" s="10">
        <f t="shared" si="113"/>
        <v>8250</v>
      </c>
      <c r="AI35" s="10">
        <f t="shared" si="113"/>
        <v>8250</v>
      </c>
      <c r="AJ35" s="10">
        <f t="shared" si="113"/>
        <v>8250</v>
      </c>
      <c r="AK35" s="10">
        <f t="shared" si="113"/>
        <v>8250</v>
      </c>
      <c r="AL35" s="10">
        <f t="shared" si="113"/>
        <v>8250</v>
      </c>
      <c r="AM35" s="10">
        <f t="shared" si="113"/>
        <v>8250</v>
      </c>
      <c r="AN35" s="10">
        <f t="shared" si="113"/>
        <v>8250</v>
      </c>
      <c r="AO35" s="10">
        <f t="shared" si="113"/>
        <v>8250</v>
      </c>
      <c r="AP35" s="10">
        <f t="shared" si="113"/>
        <v>8250</v>
      </c>
      <c r="AQ35" s="10">
        <f t="shared" si="113"/>
        <v>8250</v>
      </c>
      <c r="AR35" s="11">
        <f t="shared" ref="AR35:BC35" si="114">$G$17*$Q$1*$T$1</f>
        <v>2025</v>
      </c>
      <c r="AS35" s="11">
        <f t="shared" si="114"/>
        <v>2025</v>
      </c>
      <c r="AT35" s="11">
        <f t="shared" si="114"/>
        <v>2025</v>
      </c>
      <c r="AU35" s="11">
        <f t="shared" si="114"/>
        <v>2025</v>
      </c>
      <c r="AV35" s="11">
        <f t="shared" si="114"/>
        <v>2025</v>
      </c>
      <c r="AW35" s="11">
        <f t="shared" si="114"/>
        <v>2025</v>
      </c>
      <c r="AX35" s="11">
        <f t="shared" si="114"/>
        <v>2025</v>
      </c>
      <c r="AY35" s="11">
        <f t="shared" si="114"/>
        <v>2025</v>
      </c>
      <c r="AZ35" s="11">
        <f t="shared" si="114"/>
        <v>2025</v>
      </c>
      <c r="BA35" s="11">
        <f t="shared" si="114"/>
        <v>2025</v>
      </c>
      <c r="BB35" s="11">
        <f t="shared" si="114"/>
        <v>2025</v>
      </c>
      <c r="BC35" s="11">
        <f t="shared" si="114"/>
        <v>2025</v>
      </c>
      <c r="BD35" s="12">
        <f t="shared" ref="BD35:BO35" si="115">$G$17*$AC$1*$AF$1</f>
        <v>1800</v>
      </c>
      <c r="BE35" s="12">
        <f t="shared" si="115"/>
        <v>1800</v>
      </c>
      <c r="BF35" s="12">
        <f t="shared" si="115"/>
        <v>1800</v>
      </c>
      <c r="BG35" s="12">
        <f t="shared" si="115"/>
        <v>1800</v>
      </c>
      <c r="BH35" s="12">
        <f t="shared" si="115"/>
        <v>1800</v>
      </c>
      <c r="BI35" s="12">
        <f t="shared" si="115"/>
        <v>1800</v>
      </c>
      <c r="BJ35" s="12">
        <f t="shared" si="115"/>
        <v>1800</v>
      </c>
      <c r="BK35" s="12">
        <f t="shared" si="115"/>
        <v>1800</v>
      </c>
      <c r="BL35" s="12">
        <f t="shared" si="115"/>
        <v>1800</v>
      </c>
      <c r="BM35" s="12">
        <f t="shared" si="115"/>
        <v>1800</v>
      </c>
      <c r="BN35" s="12">
        <f t="shared" si="115"/>
        <v>1800</v>
      </c>
      <c r="BO35" s="12">
        <f t="shared" si="115"/>
        <v>1800</v>
      </c>
      <c r="BP35" s="9"/>
      <c r="BQ35" s="9"/>
      <c r="BR35" s="9"/>
      <c r="BS35" s="9"/>
      <c r="BT35" s="9"/>
      <c r="BU35" s="13"/>
    </row>
    <row r="36" spans="1:73" x14ac:dyDescent="0.2">
      <c r="A36" s="58"/>
      <c r="B36" s="25" t="s">
        <v>6</v>
      </c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20"/>
      <c r="AA36" s="10"/>
      <c r="AB36" s="10"/>
      <c r="AC36" s="10"/>
      <c r="AD36" s="10"/>
      <c r="AE36" s="10"/>
      <c r="AF36" s="10"/>
      <c r="AG36" s="10">
        <f t="shared" ref="AG36:AR36" si="116">$G$17*$E$1*$H$1</f>
        <v>8250</v>
      </c>
      <c r="AH36" s="10">
        <f t="shared" si="116"/>
        <v>8250</v>
      </c>
      <c r="AI36" s="10">
        <f t="shared" si="116"/>
        <v>8250</v>
      </c>
      <c r="AJ36" s="10">
        <f t="shared" si="116"/>
        <v>8250</v>
      </c>
      <c r="AK36" s="10">
        <f t="shared" si="116"/>
        <v>8250</v>
      </c>
      <c r="AL36" s="10">
        <f t="shared" si="116"/>
        <v>8250</v>
      </c>
      <c r="AM36" s="10">
        <f t="shared" si="116"/>
        <v>8250</v>
      </c>
      <c r="AN36" s="10">
        <f t="shared" si="116"/>
        <v>8250</v>
      </c>
      <c r="AO36" s="10">
        <f t="shared" si="116"/>
        <v>8250</v>
      </c>
      <c r="AP36" s="10">
        <f t="shared" si="116"/>
        <v>8250</v>
      </c>
      <c r="AQ36" s="10">
        <f t="shared" si="116"/>
        <v>8250</v>
      </c>
      <c r="AR36" s="10">
        <f t="shared" si="116"/>
        <v>8250</v>
      </c>
      <c r="AS36" s="11">
        <f t="shared" ref="AS36:BD36" si="117">$G$17*$Q$1*$T$1</f>
        <v>2025</v>
      </c>
      <c r="AT36" s="11">
        <f t="shared" si="117"/>
        <v>2025</v>
      </c>
      <c r="AU36" s="11">
        <f t="shared" si="117"/>
        <v>2025</v>
      </c>
      <c r="AV36" s="11">
        <f t="shared" si="117"/>
        <v>2025</v>
      </c>
      <c r="AW36" s="11">
        <f t="shared" si="117"/>
        <v>2025</v>
      </c>
      <c r="AX36" s="11">
        <f t="shared" si="117"/>
        <v>2025</v>
      </c>
      <c r="AY36" s="11">
        <f t="shared" si="117"/>
        <v>2025</v>
      </c>
      <c r="AZ36" s="11">
        <f t="shared" si="117"/>
        <v>2025</v>
      </c>
      <c r="BA36" s="11">
        <f t="shared" si="117"/>
        <v>2025</v>
      </c>
      <c r="BB36" s="11">
        <f t="shared" si="117"/>
        <v>2025</v>
      </c>
      <c r="BC36" s="11">
        <f t="shared" si="117"/>
        <v>2025</v>
      </c>
      <c r="BD36" s="11">
        <f t="shared" si="117"/>
        <v>2025</v>
      </c>
      <c r="BE36" s="12">
        <f t="shared" ref="BE36:BP36" si="118">$G$17*$AC$1*$AF$1</f>
        <v>1800</v>
      </c>
      <c r="BF36" s="12">
        <f t="shared" si="118"/>
        <v>1800</v>
      </c>
      <c r="BG36" s="12">
        <f t="shared" si="118"/>
        <v>1800</v>
      </c>
      <c r="BH36" s="12">
        <f t="shared" si="118"/>
        <v>1800</v>
      </c>
      <c r="BI36" s="12">
        <f t="shared" si="118"/>
        <v>1800</v>
      </c>
      <c r="BJ36" s="12">
        <f t="shared" si="118"/>
        <v>1800</v>
      </c>
      <c r="BK36" s="12">
        <f t="shared" si="118"/>
        <v>1800</v>
      </c>
      <c r="BL36" s="12">
        <f t="shared" si="118"/>
        <v>1800</v>
      </c>
      <c r="BM36" s="12">
        <f t="shared" si="118"/>
        <v>1800</v>
      </c>
      <c r="BN36" s="12">
        <f t="shared" si="118"/>
        <v>1800</v>
      </c>
      <c r="BO36" s="12">
        <f t="shared" si="118"/>
        <v>1800</v>
      </c>
      <c r="BP36" s="12">
        <f t="shared" si="118"/>
        <v>1800</v>
      </c>
      <c r="BQ36" s="9"/>
      <c r="BR36" s="9"/>
      <c r="BS36" s="9"/>
      <c r="BT36" s="9"/>
      <c r="BU36" s="13"/>
    </row>
    <row r="37" spans="1:73" x14ac:dyDescent="0.2">
      <c r="A37" s="58"/>
      <c r="B37" s="25" t="s">
        <v>7</v>
      </c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20"/>
      <c r="AA37" s="10"/>
      <c r="AB37" s="10"/>
      <c r="AC37" s="10"/>
      <c r="AD37" s="10"/>
      <c r="AE37" s="10"/>
      <c r="AF37" s="10"/>
      <c r="AG37" s="10"/>
      <c r="AH37" s="10">
        <f t="shared" ref="AH37:AS37" si="119">$G$17*$E$1*$H$1</f>
        <v>8250</v>
      </c>
      <c r="AI37" s="10">
        <f t="shared" si="119"/>
        <v>8250</v>
      </c>
      <c r="AJ37" s="10">
        <f t="shared" si="119"/>
        <v>8250</v>
      </c>
      <c r="AK37" s="10">
        <f t="shared" si="119"/>
        <v>8250</v>
      </c>
      <c r="AL37" s="10">
        <f t="shared" si="119"/>
        <v>8250</v>
      </c>
      <c r="AM37" s="10">
        <f t="shared" si="119"/>
        <v>8250</v>
      </c>
      <c r="AN37" s="10">
        <f t="shared" si="119"/>
        <v>8250</v>
      </c>
      <c r="AO37" s="10">
        <f t="shared" si="119"/>
        <v>8250</v>
      </c>
      <c r="AP37" s="10">
        <f t="shared" si="119"/>
        <v>8250</v>
      </c>
      <c r="AQ37" s="10">
        <f t="shared" si="119"/>
        <v>8250</v>
      </c>
      <c r="AR37" s="10">
        <f t="shared" si="119"/>
        <v>8250</v>
      </c>
      <c r="AS37" s="10">
        <f t="shared" si="119"/>
        <v>8250</v>
      </c>
      <c r="AT37" s="11">
        <f t="shared" ref="AT37:BE37" si="120">$G$17*$Q$1*$T$1</f>
        <v>2025</v>
      </c>
      <c r="AU37" s="11">
        <f t="shared" si="120"/>
        <v>2025</v>
      </c>
      <c r="AV37" s="11">
        <f t="shared" si="120"/>
        <v>2025</v>
      </c>
      <c r="AW37" s="11">
        <f t="shared" si="120"/>
        <v>2025</v>
      </c>
      <c r="AX37" s="11">
        <f t="shared" si="120"/>
        <v>2025</v>
      </c>
      <c r="AY37" s="11">
        <f t="shared" si="120"/>
        <v>2025</v>
      </c>
      <c r="AZ37" s="11">
        <f t="shared" si="120"/>
        <v>2025</v>
      </c>
      <c r="BA37" s="11">
        <f t="shared" si="120"/>
        <v>2025</v>
      </c>
      <c r="BB37" s="11">
        <f t="shared" si="120"/>
        <v>2025</v>
      </c>
      <c r="BC37" s="11">
        <f t="shared" si="120"/>
        <v>2025</v>
      </c>
      <c r="BD37" s="11">
        <f t="shared" si="120"/>
        <v>2025</v>
      </c>
      <c r="BE37" s="11">
        <f t="shared" si="120"/>
        <v>2025</v>
      </c>
      <c r="BF37" s="12">
        <f t="shared" ref="BF37:BQ37" si="121">$G$17*$AC$1*$AF$1</f>
        <v>1800</v>
      </c>
      <c r="BG37" s="12">
        <f t="shared" si="121"/>
        <v>1800</v>
      </c>
      <c r="BH37" s="12">
        <f t="shared" si="121"/>
        <v>1800</v>
      </c>
      <c r="BI37" s="12">
        <f t="shared" si="121"/>
        <v>1800</v>
      </c>
      <c r="BJ37" s="12">
        <f t="shared" si="121"/>
        <v>1800</v>
      </c>
      <c r="BK37" s="12">
        <f t="shared" si="121"/>
        <v>1800</v>
      </c>
      <c r="BL37" s="12">
        <f t="shared" si="121"/>
        <v>1800</v>
      </c>
      <c r="BM37" s="12">
        <f t="shared" si="121"/>
        <v>1800</v>
      </c>
      <c r="BN37" s="12">
        <f t="shared" si="121"/>
        <v>1800</v>
      </c>
      <c r="BO37" s="12">
        <f t="shared" si="121"/>
        <v>1800</v>
      </c>
      <c r="BP37" s="12">
        <f t="shared" si="121"/>
        <v>1800</v>
      </c>
      <c r="BQ37" s="12">
        <f t="shared" si="121"/>
        <v>1800</v>
      </c>
      <c r="BR37" s="9"/>
      <c r="BS37" s="9"/>
      <c r="BT37" s="9"/>
      <c r="BU37" s="13"/>
    </row>
    <row r="38" spans="1:73" x14ac:dyDescent="0.2">
      <c r="A38" s="58"/>
      <c r="B38" s="25" t="s">
        <v>8</v>
      </c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20"/>
      <c r="AA38" s="10"/>
      <c r="AB38" s="10"/>
      <c r="AC38" s="10"/>
      <c r="AD38" s="10"/>
      <c r="AE38" s="10"/>
      <c r="AF38" s="10"/>
      <c r="AG38" s="10"/>
      <c r="AH38" s="10"/>
      <c r="AI38" s="10">
        <f t="shared" ref="AI38:AT38" si="122">$G$17*$E$1*$H$1</f>
        <v>8250</v>
      </c>
      <c r="AJ38" s="10">
        <f t="shared" si="122"/>
        <v>8250</v>
      </c>
      <c r="AK38" s="10">
        <f t="shared" si="122"/>
        <v>8250</v>
      </c>
      <c r="AL38" s="10">
        <f t="shared" si="122"/>
        <v>8250</v>
      </c>
      <c r="AM38" s="10">
        <f t="shared" si="122"/>
        <v>8250</v>
      </c>
      <c r="AN38" s="10">
        <f t="shared" si="122"/>
        <v>8250</v>
      </c>
      <c r="AO38" s="10">
        <f t="shared" si="122"/>
        <v>8250</v>
      </c>
      <c r="AP38" s="10">
        <f t="shared" si="122"/>
        <v>8250</v>
      </c>
      <c r="AQ38" s="10">
        <f t="shared" si="122"/>
        <v>8250</v>
      </c>
      <c r="AR38" s="10">
        <f t="shared" si="122"/>
        <v>8250</v>
      </c>
      <c r="AS38" s="10">
        <f t="shared" si="122"/>
        <v>8250</v>
      </c>
      <c r="AT38" s="10">
        <f t="shared" si="122"/>
        <v>8250</v>
      </c>
      <c r="AU38" s="11">
        <f t="shared" ref="AU38:BF38" si="123">$G$17*$Q$1*$T$1</f>
        <v>2025</v>
      </c>
      <c r="AV38" s="11">
        <f t="shared" si="123"/>
        <v>2025</v>
      </c>
      <c r="AW38" s="11">
        <f t="shared" si="123"/>
        <v>2025</v>
      </c>
      <c r="AX38" s="11">
        <f t="shared" si="123"/>
        <v>2025</v>
      </c>
      <c r="AY38" s="11">
        <f t="shared" si="123"/>
        <v>2025</v>
      </c>
      <c r="AZ38" s="11">
        <f t="shared" si="123"/>
        <v>2025</v>
      </c>
      <c r="BA38" s="11">
        <f t="shared" si="123"/>
        <v>2025</v>
      </c>
      <c r="BB38" s="11">
        <f t="shared" si="123"/>
        <v>2025</v>
      </c>
      <c r="BC38" s="11">
        <f t="shared" si="123"/>
        <v>2025</v>
      </c>
      <c r="BD38" s="11">
        <f t="shared" si="123"/>
        <v>2025</v>
      </c>
      <c r="BE38" s="11">
        <f t="shared" si="123"/>
        <v>2025</v>
      </c>
      <c r="BF38" s="11">
        <f t="shared" si="123"/>
        <v>2025</v>
      </c>
      <c r="BG38" s="12">
        <f t="shared" ref="BG38:BR38" si="124">$G$17*$AC$1*$AF$1</f>
        <v>1800</v>
      </c>
      <c r="BH38" s="12">
        <f t="shared" si="124"/>
        <v>1800</v>
      </c>
      <c r="BI38" s="12">
        <f t="shared" si="124"/>
        <v>1800</v>
      </c>
      <c r="BJ38" s="12">
        <f t="shared" si="124"/>
        <v>1800</v>
      </c>
      <c r="BK38" s="12">
        <f t="shared" si="124"/>
        <v>1800</v>
      </c>
      <c r="BL38" s="12">
        <f t="shared" si="124"/>
        <v>1800</v>
      </c>
      <c r="BM38" s="12">
        <f t="shared" si="124"/>
        <v>1800</v>
      </c>
      <c r="BN38" s="12">
        <f t="shared" si="124"/>
        <v>1800</v>
      </c>
      <c r="BO38" s="12">
        <f t="shared" si="124"/>
        <v>1800</v>
      </c>
      <c r="BP38" s="12">
        <f t="shared" si="124"/>
        <v>1800</v>
      </c>
      <c r="BQ38" s="12">
        <f t="shared" si="124"/>
        <v>1800</v>
      </c>
      <c r="BR38" s="12">
        <f t="shared" si="124"/>
        <v>1800</v>
      </c>
      <c r="BS38" s="9"/>
      <c r="BT38" s="9"/>
      <c r="BU38" s="13"/>
    </row>
    <row r="39" spans="1:73" x14ac:dyDescent="0.2">
      <c r="A39" s="58"/>
      <c r="B39" s="25" t="s">
        <v>9</v>
      </c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20"/>
      <c r="AA39" s="10"/>
      <c r="AB39" s="10"/>
      <c r="AC39" s="10"/>
      <c r="AD39" s="10"/>
      <c r="AE39" s="10"/>
      <c r="AF39" s="10"/>
      <c r="AG39" s="10"/>
      <c r="AH39" s="10"/>
      <c r="AI39" s="10"/>
      <c r="AJ39" s="10">
        <f t="shared" ref="AJ39:AU39" si="125">$G$17*$E$1*$H$1</f>
        <v>8250</v>
      </c>
      <c r="AK39" s="10">
        <f t="shared" si="125"/>
        <v>8250</v>
      </c>
      <c r="AL39" s="10">
        <f t="shared" si="125"/>
        <v>8250</v>
      </c>
      <c r="AM39" s="10">
        <f t="shared" si="125"/>
        <v>8250</v>
      </c>
      <c r="AN39" s="10">
        <f t="shared" si="125"/>
        <v>8250</v>
      </c>
      <c r="AO39" s="10">
        <f t="shared" si="125"/>
        <v>8250</v>
      </c>
      <c r="AP39" s="10">
        <f t="shared" si="125"/>
        <v>8250</v>
      </c>
      <c r="AQ39" s="10">
        <f t="shared" si="125"/>
        <v>8250</v>
      </c>
      <c r="AR39" s="10">
        <f t="shared" si="125"/>
        <v>8250</v>
      </c>
      <c r="AS39" s="10">
        <f t="shared" si="125"/>
        <v>8250</v>
      </c>
      <c r="AT39" s="10">
        <f t="shared" si="125"/>
        <v>8250</v>
      </c>
      <c r="AU39" s="10">
        <f t="shared" si="125"/>
        <v>8250</v>
      </c>
      <c r="AV39" s="11">
        <f t="shared" ref="AV39:BG39" si="126">$G$17*$Q$1*$T$1</f>
        <v>2025</v>
      </c>
      <c r="AW39" s="11">
        <f t="shared" si="126"/>
        <v>2025</v>
      </c>
      <c r="AX39" s="11">
        <f t="shared" si="126"/>
        <v>2025</v>
      </c>
      <c r="AY39" s="11">
        <f t="shared" si="126"/>
        <v>2025</v>
      </c>
      <c r="AZ39" s="11">
        <f t="shared" si="126"/>
        <v>2025</v>
      </c>
      <c r="BA39" s="11">
        <f t="shared" si="126"/>
        <v>2025</v>
      </c>
      <c r="BB39" s="11">
        <f t="shared" si="126"/>
        <v>2025</v>
      </c>
      <c r="BC39" s="11">
        <f t="shared" si="126"/>
        <v>2025</v>
      </c>
      <c r="BD39" s="11">
        <f t="shared" si="126"/>
        <v>2025</v>
      </c>
      <c r="BE39" s="11">
        <f t="shared" si="126"/>
        <v>2025</v>
      </c>
      <c r="BF39" s="11">
        <f t="shared" si="126"/>
        <v>2025</v>
      </c>
      <c r="BG39" s="11">
        <f t="shared" si="126"/>
        <v>2025</v>
      </c>
      <c r="BH39" s="12">
        <f t="shared" ref="BH39:BS39" si="127">$G$17*$AC$1*$AF$1</f>
        <v>1800</v>
      </c>
      <c r="BI39" s="12">
        <f t="shared" si="127"/>
        <v>1800</v>
      </c>
      <c r="BJ39" s="12">
        <f t="shared" si="127"/>
        <v>1800</v>
      </c>
      <c r="BK39" s="12">
        <f t="shared" si="127"/>
        <v>1800</v>
      </c>
      <c r="BL39" s="12">
        <f t="shared" si="127"/>
        <v>1800</v>
      </c>
      <c r="BM39" s="12">
        <f t="shared" si="127"/>
        <v>1800</v>
      </c>
      <c r="BN39" s="12">
        <f t="shared" si="127"/>
        <v>1800</v>
      </c>
      <c r="BO39" s="12">
        <f t="shared" si="127"/>
        <v>1800</v>
      </c>
      <c r="BP39" s="12">
        <f t="shared" si="127"/>
        <v>1800</v>
      </c>
      <c r="BQ39" s="12">
        <f t="shared" si="127"/>
        <v>1800</v>
      </c>
      <c r="BR39" s="12">
        <f t="shared" si="127"/>
        <v>1800</v>
      </c>
      <c r="BS39" s="12">
        <f t="shared" si="127"/>
        <v>1800</v>
      </c>
      <c r="BT39" s="9"/>
      <c r="BU39" s="13"/>
    </row>
    <row r="40" spans="1:73" x14ac:dyDescent="0.2">
      <c r="A40" s="58"/>
      <c r="B40" s="25" t="s">
        <v>10</v>
      </c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2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>
        <f t="shared" ref="AK40:AV40" si="128">$G$17*$E$1*$H$1</f>
        <v>8250</v>
      </c>
      <c r="AL40" s="10">
        <f t="shared" si="128"/>
        <v>8250</v>
      </c>
      <c r="AM40" s="10">
        <f t="shared" si="128"/>
        <v>8250</v>
      </c>
      <c r="AN40" s="10">
        <f t="shared" si="128"/>
        <v>8250</v>
      </c>
      <c r="AO40" s="10">
        <f t="shared" si="128"/>
        <v>8250</v>
      </c>
      <c r="AP40" s="10">
        <f t="shared" si="128"/>
        <v>8250</v>
      </c>
      <c r="AQ40" s="10">
        <f t="shared" si="128"/>
        <v>8250</v>
      </c>
      <c r="AR40" s="10">
        <f t="shared" si="128"/>
        <v>8250</v>
      </c>
      <c r="AS40" s="10">
        <f t="shared" si="128"/>
        <v>8250</v>
      </c>
      <c r="AT40" s="10">
        <f t="shared" si="128"/>
        <v>8250</v>
      </c>
      <c r="AU40" s="10">
        <f t="shared" si="128"/>
        <v>8250</v>
      </c>
      <c r="AV40" s="10">
        <f t="shared" si="128"/>
        <v>8250</v>
      </c>
      <c r="AW40" s="11">
        <f t="shared" ref="AW40:BH40" si="129">$G$17*$Q$1*$T$1</f>
        <v>2025</v>
      </c>
      <c r="AX40" s="11">
        <f t="shared" si="129"/>
        <v>2025</v>
      </c>
      <c r="AY40" s="11">
        <f t="shared" si="129"/>
        <v>2025</v>
      </c>
      <c r="AZ40" s="11">
        <f t="shared" si="129"/>
        <v>2025</v>
      </c>
      <c r="BA40" s="11">
        <f t="shared" si="129"/>
        <v>2025</v>
      </c>
      <c r="BB40" s="11">
        <f t="shared" si="129"/>
        <v>2025</v>
      </c>
      <c r="BC40" s="11">
        <f t="shared" si="129"/>
        <v>2025</v>
      </c>
      <c r="BD40" s="11">
        <f t="shared" si="129"/>
        <v>2025</v>
      </c>
      <c r="BE40" s="11">
        <f t="shared" si="129"/>
        <v>2025</v>
      </c>
      <c r="BF40" s="11">
        <f t="shared" si="129"/>
        <v>2025</v>
      </c>
      <c r="BG40" s="11">
        <f t="shared" si="129"/>
        <v>2025</v>
      </c>
      <c r="BH40" s="11">
        <f t="shared" si="129"/>
        <v>2025</v>
      </c>
      <c r="BI40" s="12">
        <f t="shared" ref="BI40:BT40" si="130">$G$17*$AC$1*$AF$1</f>
        <v>1800</v>
      </c>
      <c r="BJ40" s="12">
        <f t="shared" si="130"/>
        <v>1800</v>
      </c>
      <c r="BK40" s="12">
        <f t="shared" si="130"/>
        <v>1800</v>
      </c>
      <c r="BL40" s="12">
        <f t="shared" si="130"/>
        <v>1800</v>
      </c>
      <c r="BM40" s="12">
        <f t="shared" si="130"/>
        <v>1800</v>
      </c>
      <c r="BN40" s="12">
        <f t="shared" si="130"/>
        <v>1800</v>
      </c>
      <c r="BO40" s="12">
        <f t="shared" si="130"/>
        <v>1800</v>
      </c>
      <c r="BP40" s="12">
        <f t="shared" si="130"/>
        <v>1800</v>
      </c>
      <c r="BQ40" s="12">
        <f t="shared" si="130"/>
        <v>1800</v>
      </c>
      <c r="BR40" s="12">
        <f t="shared" si="130"/>
        <v>1800</v>
      </c>
      <c r="BS40" s="12">
        <f t="shared" si="130"/>
        <v>1800</v>
      </c>
      <c r="BT40" s="12">
        <f t="shared" si="130"/>
        <v>1800</v>
      </c>
      <c r="BU40" s="13"/>
    </row>
    <row r="41" spans="1:73" ht="13.5" thickBot="1" x14ac:dyDescent="0.25">
      <c r="A41" s="59"/>
      <c r="B41" s="26" t="s">
        <v>11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21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>
        <f t="shared" ref="AL41:AW41" si="131">$G$17*$E$1*$H$1</f>
        <v>8250</v>
      </c>
      <c r="AM41" s="15">
        <f t="shared" si="131"/>
        <v>8250</v>
      </c>
      <c r="AN41" s="15">
        <f t="shared" si="131"/>
        <v>8250</v>
      </c>
      <c r="AO41" s="15">
        <f t="shared" si="131"/>
        <v>8250</v>
      </c>
      <c r="AP41" s="15">
        <f t="shared" si="131"/>
        <v>8250</v>
      </c>
      <c r="AQ41" s="15">
        <f t="shared" si="131"/>
        <v>8250</v>
      </c>
      <c r="AR41" s="15">
        <f t="shared" si="131"/>
        <v>8250</v>
      </c>
      <c r="AS41" s="15">
        <f t="shared" si="131"/>
        <v>8250</v>
      </c>
      <c r="AT41" s="15">
        <f t="shared" si="131"/>
        <v>8250</v>
      </c>
      <c r="AU41" s="15">
        <f t="shared" si="131"/>
        <v>8250</v>
      </c>
      <c r="AV41" s="15">
        <f t="shared" si="131"/>
        <v>8250</v>
      </c>
      <c r="AW41" s="15">
        <f t="shared" si="131"/>
        <v>8250</v>
      </c>
      <c r="AX41" s="16">
        <f t="shared" ref="AX41:BI41" si="132">$G$17*$Q$1*$T$1</f>
        <v>2025</v>
      </c>
      <c r="AY41" s="16">
        <f t="shared" si="132"/>
        <v>2025</v>
      </c>
      <c r="AZ41" s="16">
        <f t="shared" si="132"/>
        <v>2025</v>
      </c>
      <c r="BA41" s="16">
        <f t="shared" si="132"/>
        <v>2025</v>
      </c>
      <c r="BB41" s="16">
        <f t="shared" si="132"/>
        <v>2025</v>
      </c>
      <c r="BC41" s="16">
        <f t="shared" si="132"/>
        <v>2025</v>
      </c>
      <c r="BD41" s="16">
        <f t="shared" si="132"/>
        <v>2025</v>
      </c>
      <c r="BE41" s="16">
        <f t="shared" si="132"/>
        <v>2025</v>
      </c>
      <c r="BF41" s="16">
        <f t="shared" si="132"/>
        <v>2025</v>
      </c>
      <c r="BG41" s="16">
        <f t="shared" si="132"/>
        <v>2025</v>
      </c>
      <c r="BH41" s="16">
        <f t="shared" si="132"/>
        <v>2025</v>
      </c>
      <c r="BI41" s="16">
        <f t="shared" si="132"/>
        <v>2025</v>
      </c>
      <c r="BJ41" s="17">
        <f t="shared" ref="BJ41:BU41" si="133">$G$17*$AC$1*$AF$1</f>
        <v>1800</v>
      </c>
      <c r="BK41" s="17">
        <f t="shared" si="133"/>
        <v>1800</v>
      </c>
      <c r="BL41" s="17">
        <f t="shared" si="133"/>
        <v>1800</v>
      </c>
      <c r="BM41" s="17">
        <f t="shared" si="133"/>
        <v>1800</v>
      </c>
      <c r="BN41" s="17">
        <f t="shared" si="133"/>
        <v>1800</v>
      </c>
      <c r="BO41" s="17">
        <f t="shared" si="133"/>
        <v>1800</v>
      </c>
      <c r="BP41" s="17">
        <f t="shared" si="133"/>
        <v>1800</v>
      </c>
      <c r="BQ41" s="17">
        <f t="shared" si="133"/>
        <v>1800</v>
      </c>
      <c r="BR41" s="17">
        <f t="shared" si="133"/>
        <v>1800</v>
      </c>
      <c r="BS41" s="17">
        <f t="shared" si="133"/>
        <v>1800</v>
      </c>
      <c r="BT41" s="17">
        <f t="shared" si="133"/>
        <v>1800</v>
      </c>
      <c r="BU41" s="22">
        <f t="shared" si="133"/>
        <v>1800</v>
      </c>
    </row>
    <row r="42" spans="1:73" x14ac:dyDescent="0.2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73" x14ac:dyDescent="0.2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73" x14ac:dyDescent="0.2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73" x14ac:dyDescent="0.2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</sheetData>
  <mergeCells count="19">
    <mergeCell ref="A30:A41"/>
    <mergeCell ref="C2:N2"/>
    <mergeCell ref="O2:Z2"/>
    <mergeCell ref="AA2:AL2"/>
    <mergeCell ref="E17:F18"/>
    <mergeCell ref="G17:H18"/>
    <mergeCell ref="A3:B3"/>
    <mergeCell ref="A4:B4"/>
    <mergeCell ref="I19:I20"/>
    <mergeCell ref="E20:F21"/>
    <mergeCell ref="G20:H21"/>
    <mergeCell ref="AD1:AE1"/>
    <mergeCell ref="A6:A17"/>
    <mergeCell ref="A18:A29"/>
    <mergeCell ref="C1:D1"/>
    <mergeCell ref="F1:G1"/>
    <mergeCell ref="O1:P1"/>
    <mergeCell ref="R1:S1"/>
    <mergeCell ref="AA1:AB1"/>
  </mergeCells>
  <pageMargins left="0.70866141732283472" right="0.70866141732283472" top="0.74803149606299213" bottom="0.74803149606299213" header="0.31496062992125984" footer="0.31496062992125984"/>
  <pageSetup paperSize="9" scale="77" fitToWidth="0" orientation="landscape" r:id="rId1"/>
  <colBreaks count="5" manualBreakCount="5">
    <brk id="14" max="39" man="1"/>
    <brk id="26" max="1048575" man="1"/>
    <brk id="38" max="1048575" man="1"/>
    <brk id="50" max="1048575" man="1"/>
    <brk id="62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2DF0C-1C1A-4980-8082-45BC1E3C1971}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493E9-DB1C-4F5D-BF95-B50CF6EDFCAB}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3</vt:i4>
      </vt:variant>
      <vt:variant>
        <vt:lpstr>Névvel ellátott tartományok</vt:lpstr>
      </vt:variant>
      <vt:variant>
        <vt:i4>2</vt:i4>
      </vt:variant>
    </vt:vector>
  </HeadingPairs>
  <TitlesOfParts>
    <vt:vector size="5" baseType="lpstr">
      <vt:lpstr>Munka1</vt:lpstr>
      <vt:lpstr>Munka2</vt:lpstr>
      <vt:lpstr>Munka3</vt:lpstr>
      <vt:lpstr>Munka1!Nyomtatási_cím</vt:lpstr>
      <vt:lpstr>Munka1!Nyomtatási_terület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Dobrotka, Zoltán</dc:creator>
  <cp:lastModifiedBy>például Lilian</cp:lastModifiedBy>
  <cp:lastPrinted>2019-12-13T11:48:35Z</cp:lastPrinted>
  <dcterms:created xsi:type="dcterms:W3CDTF">2019-12-12T11:55:54Z</dcterms:created>
  <dcterms:modified xsi:type="dcterms:W3CDTF">2020-01-14T10:49:39Z</dcterms:modified>
</cp:coreProperties>
</file>