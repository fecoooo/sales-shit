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228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Juci\OneDrive\Metlife\A99\"/>
    </mc:Choice>
  </mc:AlternateContent>
  <xr:revisionPtr revIDLastSave="335" documentId="8_{33580B3B-4CB2-4960-A71F-72247C239F62}" xr6:coauthVersionLast="45" xr6:coauthVersionMax="45" xr10:uidLastSave="{ED64B197-BF7C-4E9A-8041-320549C9307B}"/>
  <bookViews>
    <workbookView xWindow="-108" yWindow="-108" windowWidth="21384" windowHeight="13176" tabRatio="586" activeTab="3" xr2:uid="{00000000-000D-0000-FFFF-FFFF00000000}"/>
  </bookViews>
  <sheets>
    <sheet name="Jutaléktáblák" sheetId="19" r:id="rId1"/>
    <sheet name="Data" sheetId="18" r:id="rId2"/>
    <sheet name="Tanácsadó_1" sheetId="17" r:id="rId3"/>
    <sheet name="magyarázó" sheetId="20" r:id="rId4"/>
  </sheet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10" i="20" l="1"/>
  <c r="C11" i="20"/>
  <c r="C13" i="20" l="1"/>
  <c r="H14" i="20" l="1"/>
  <c r="J14" i="20" s="1"/>
  <c r="H12" i="17"/>
  <c r="H17" i="20"/>
  <c r="I17" i="20" s="1"/>
  <c r="K17" i="20" s="1"/>
  <c r="M17" i="20" s="1"/>
  <c r="I16" i="20"/>
  <c r="H16" i="20"/>
  <c r="J16" i="20" s="1"/>
  <c r="H15" i="20"/>
  <c r="J15" i="20" s="1"/>
  <c r="H13" i="20"/>
  <c r="J13" i="20" s="1"/>
  <c r="F13" i="20"/>
  <c r="H12" i="20"/>
  <c r="I12" i="20" s="1"/>
  <c r="K12" i="20" s="1"/>
  <c r="M12" i="20" s="1"/>
  <c r="H11" i="20"/>
  <c r="J11" i="20" s="1"/>
  <c r="F11" i="20"/>
  <c r="H10" i="20"/>
  <c r="J10" i="20" s="1"/>
  <c r="F10" i="20"/>
  <c r="I16" i="17"/>
  <c r="H16" i="17"/>
  <c r="J16" i="17"/>
  <c r="H11" i="17"/>
  <c r="J11" i="17"/>
  <c r="H13" i="17"/>
  <c r="J13" i="17"/>
  <c r="H14" i="17"/>
  <c r="F14" i="17"/>
  <c r="H15" i="17"/>
  <c r="J15" i="17"/>
  <c r="J12" i="17"/>
  <c r="H17" i="17"/>
  <c r="I17" i="17"/>
  <c r="K17" i="17"/>
  <c r="M17" i="17"/>
  <c r="H10" i="17"/>
  <c r="J10" i="17"/>
  <c r="F10" i="17"/>
  <c r="F11" i="17"/>
  <c r="F13" i="17"/>
  <c r="O10" i="17"/>
  <c r="O18" i="17"/>
  <c r="J17" i="17"/>
  <c r="B23" i="17"/>
  <c r="B22" i="17"/>
  <c r="B21" i="17"/>
  <c r="I14" i="17"/>
  <c r="K14" i="17"/>
  <c r="M14" i="17"/>
  <c r="I12" i="17"/>
  <c r="K12" i="17"/>
  <c r="M12" i="17"/>
  <c r="I13" i="17"/>
  <c r="K13" i="17"/>
  <c r="M13" i="17"/>
  <c r="I15" i="17"/>
  <c r="I10" i="17"/>
  <c r="I11" i="17"/>
  <c r="K11" i="17"/>
  <c r="M11" i="17"/>
  <c r="H18" i="17"/>
  <c r="J14" i="17"/>
  <c r="G10" i="17"/>
  <c r="I18" i="17"/>
  <c r="K10" i="17"/>
  <c r="J18" i="17"/>
  <c r="N13" i="17"/>
  <c r="P13" i="17"/>
  <c r="N14" i="17"/>
  <c r="P14" i="17"/>
  <c r="N16" i="17"/>
  <c r="N17" i="17"/>
  <c r="P17" i="17"/>
  <c r="N11" i="17"/>
  <c r="P11" i="17"/>
  <c r="N15" i="17"/>
  <c r="N10" i="17"/>
  <c r="P10" i="17"/>
  <c r="N12" i="17"/>
  <c r="P12" i="17"/>
  <c r="M10" i="17"/>
  <c r="N18" i="17"/>
  <c r="F15" i="20"/>
  <c r="F15" i="17"/>
  <c r="F16" i="20"/>
  <c r="F16" i="17"/>
  <c r="I13" i="20" l="1"/>
  <c r="K13" i="20" s="1"/>
  <c r="M13" i="20" s="1"/>
  <c r="B25" i="20"/>
  <c r="I14" i="20"/>
  <c r="F14" i="20"/>
  <c r="I11" i="20"/>
  <c r="K11" i="20" s="1"/>
  <c r="M11" i="20" s="1"/>
  <c r="I15" i="20"/>
  <c r="K15" i="20" s="1"/>
  <c r="I10" i="20"/>
  <c r="K10" i="20" s="1"/>
  <c r="M10" i="20" s="1"/>
  <c r="J17" i="20"/>
  <c r="J12" i="20"/>
  <c r="O10" i="20" s="1"/>
  <c r="H18" i="20"/>
  <c r="B24" i="20"/>
  <c r="K15" i="17"/>
  <c r="K16" i="20"/>
  <c r="K16" i="17"/>
  <c r="O18" i="20" l="1"/>
  <c r="K14" i="20"/>
  <c r="M14" i="20" s="1"/>
  <c r="J18" i="20"/>
  <c r="I18" i="20"/>
  <c r="B26" i="20"/>
  <c r="G10" i="20" s="1"/>
  <c r="N10" i="20" s="1"/>
  <c r="M16" i="20"/>
  <c r="M15" i="17"/>
  <c r="P15" i="17"/>
  <c r="K18" i="17"/>
  <c r="P18" i="17" s="1"/>
  <c r="M15" i="20"/>
  <c r="P16" i="17"/>
  <c r="M16" i="17"/>
  <c r="K18" i="20" l="1"/>
  <c r="N16" i="20"/>
  <c r="P16" i="20" s="1"/>
  <c r="N17" i="20"/>
  <c r="P17" i="20" s="1"/>
  <c r="N13" i="20"/>
  <c r="P13" i="20" s="1"/>
  <c r="N14" i="20"/>
  <c r="P14" i="20" s="1"/>
  <c r="N12" i="20"/>
  <c r="P12" i="20" s="1"/>
  <c r="N11" i="20"/>
  <c r="P11" i="20" s="1"/>
  <c r="N15" i="20"/>
  <c r="P15" i="20" s="1"/>
  <c r="P10" i="20"/>
  <c r="M18" i="20"/>
  <c r="M18" i="17"/>
  <c r="N18" i="20" l="1"/>
  <c r="P18" i="20" s="1"/>
</calcChain>
</file>

<file path=xl/sharedStrings.xml><?xml version="1.0" encoding="utf-8"?>
<sst xmlns="http://schemas.openxmlformats.org/spreadsheetml/2006/main" count="121" uniqueCount="68">
  <si>
    <t>Rendszeres díjas UL</t>
  </si>
  <si>
    <t>Egyszeri díjas UL</t>
  </si>
  <si>
    <t>Rendszeres díjas Nyugdíjbiztosítás</t>
  </si>
  <si>
    <t>Kiegészítő Baleset- és betegségbiztosítás</t>
  </si>
  <si>
    <t>Csoportos biztosítás</t>
  </si>
  <si>
    <t>Üzletfejlesztési jutalék alap</t>
  </si>
  <si>
    <t xml:space="preserve">Szerzési jutalék </t>
  </si>
  <si>
    <t>Üzletfejlesztési jutalék sáv</t>
  </si>
  <si>
    <t>LIFE IQA &gt;= 85% és PA IQA &gt;= 75%</t>
  </si>
  <si>
    <t>Protection ANP</t>
  </si>
  <si>
    <t>Bónuszsávok</t>
  </si>
  <si>
    <t>Tartam</t>
  </si>
  <si>
    <t>Nelson</t>
  </si>
  <si>
    <t>Kulcs</t>
  </si>
  <si>
    <t>Díjfizetési ütem</t>
  </si>
  <si>
    <t>havi</t>
  </si>
  <si>
    <t>negyedéves</t>
  </si>
  <si>
    <t xml:space="preserve">féléves </t>
  </si>
  <si>
    <t>éves</t>
  </si>
  <si>
    <t>NINCS</t>
  </si>
  <si>
    <t>Első éves jutalékkulcs 
(%)</t>
  </si>
  <si>
    <t>Egyszeri díjas</t>
  </si>
  <si>
    <t xml:space="preserve">Tartam </t>
  </si>
  <si>
    <t>Nyugdíj</t>
  </si>
  <si>
    <t>Önálló Baleset- és betegségbiztosítás (CC,JC)</t>
  </si>
  <si>
    <t>Önálló Baleset- és betegségbiztosítás (MetMax)</t>
  </si>
  <si>
    <t>CC/JC</t>
  </si>
  <si>
    <t>Metmax</t>
  </si>
  <si>
    <t>Tartam 
(év)</t>
  </si>
  <si>
    <t>Értékesített 
(db)</t>
  </si>
  <si>
    <t xml:space="preserve">Átlagdíj
</t>
  </si>
  <si>
    <t>LIFE IQA</t>
  </si>
  <si>
    <t>A&amp;H IQA</t>
  </si>
  <si>
    <t>IQA</t>
  </si>
  <si>
    <t>Teljes jutalék</t>
  </si>
  <si>
    <t>Üzlet-fejlesztési bónusz %</t>
  </si>
  <si>
    <t xml:space="preserve">Üzletfejlesztési jutalék </t>
  </si>
  <si>
    <t>Protection teljesítményhez kötődő jutalék</t>
  </si>
  <si>
    <t>Szerzési jutalék alap</t>
  </si>
  <si>
    <t>Havi évesített díj (ANP)</t>
  </si>
  <si>
    <t>TANÁCSADÓ_1</t>
  </si>
  <si>
    <t>Kap támogatást?</t>
  </si>
  <si>
    <t>Származtatott jutalék</t>
  </si>
  <si>
    <t>Rendszeres díjas szerződések</t>
  </si>
  <si>
    <t>Egyszeri díjas szerződések</t>
  </si>
  <si>
    <t>Származtatott jutalék alap</t>
  </si>
  <si>
    <t>Kockázati biztosítások</t>
  </si>
  <si>
    <t>Mekkora a havi protection elvárás?</t>
  </si>
  <si>
    <t>Mekkora havi támogatást kap a TIG-től protectionre?</t>
  </si>
  <si>
    <t>Rookie?</t>
  </si>
  <si>
    <t>3 hónapon belüli rookie?</t>
  </si>
  <si>
    <t>Önálló Baleset- és betegségbiztosítás (MetCare)</t>
  </si>
  <si>
    <t>Kiegészítő Baleset- és betegségbiztosítás (MetMax)</t>
  </si>
  <si>
    <t>Kockázati biztosítások Nelson</t>
  </si>
  <si>
    <t>Rendszeres díjas UL - Manhattan</t>
  </si>
  <si>
    <t>Egyszeri díjas UL: nyugdíj, manhattan</t>
  </si>
  <si>
    <t>Átlagdíj 
éves</t>
  </si>
  <si>
    <t>Önálló Baleset- és betegségbiztosítás: Kritikus betegségek</t>
  </si>
  <si>
    <t>Nyugdíj és megtakarítás megmaradási ráta</t>
  </si>
  <si>
    <t>Baleset betegség megmaradási ráta</t>
  </si>
  <si>
    <t>Folyamatos jutalék: Önálló Baleset- és betegségbiztosítás: Kritikus betegségek átlagdíjának / 12 &gt; ez megy a folyamatos jutalékos táblázatba</t>
  </si>
  <si>
    <t>Átlag éves díjak:</t>
  </si>
  <si>
    <t>Bónuszsáv 3 hónap átlag Baleset és betegség utáni éves ANP után jár</t>
  </si>
  <si>
    <t>150e-300e</t>
  </si>
  <si>
    <t>300e-600e</t>
  </si>
  <si>
    <t>&gt;600e</t>
  </si>
  <si>
    <t>10-ből 9 megmarad 90% esetén - 85% alá esve elesik a tanácsadó bizonyos jutalékoktól</t>
  </si>
  <si>
    <t>82 az átlat - ha 75 alá esik - akkor elesik a tanácsadó bizonyos jutalékoktól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</si>
</sst>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-* #,##0.00\ &quot;Ft&quot;_-;\-* #,##0.00\ &quot;Ft&quot;_-;_-* &quot;-&quot;??\ &quot;Ft&quot;_-;_-@_-"/>
    <numFmt numFmtId="164" formatCode="#,##0\ &quot;Ft&quot;"/>
    <numFmt numFmtId="165" formatCode="0.0%"/>
    <numFmt numFmtId="166" formatCode="_-* #,##0\ &quot;Ft&quot;_-;\-* #,##0\ &quot;Ft&quot;_-;_-* &quot;-&quot;??\ &quot;Ft&quot;_-;_-@_-"/>
    <numFmt numFmtId="167" formatCode="_-* #,##0\ [$Ft-40E]_-;\-* #,##0\ [$Ft-40E]_-;_-* &quot;-&quot;??\ [$Ft-40E]_-;_-@_-"/>
  </numFmts>
  <fonts count="18" x14ac:knownFonts="1">
    <font>
      <sz val="11"/>
      <color theme="1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b/>
      <sz val="10"/>
      <name val="Arial"/>
      <family val="2"/>
      <charset val="238"/>
    </font>
    <font>
      <sz val="11"/>
      <name val="Calibri"/>
      <family val="2"/>
      <charset val="238"/>
      <scheme val="minor"/>
    </font>
    <font>
      <b/>
      <i/>
      <sz val="11"/>
      <color theme="1"/>
      <name val="Calibri"/>
      <family val="2"/>
      <charset val="238"/>
      <scheme val="minor"/>
    </font>
    <font>
      <sz val="11"/>
      <color theme="0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b/>
      <i/>
      <sz val="12"/>
      <color theme="1"/>
      <name val="Calibri"/>
      <family val="2"/>
      <scheme val="minor"/>
    </font>
    <font>
      <b/>
      <sz val="11"/>
      <name val="Calibri"/>
      <family val="2"/>
      <charset val="238"/>
      <scheme val="minor"/>
    </font>
    <font>
      <b/>
      <sz val="11"/>
      <color theme="1"/>
      <name val="Calibri"/>
      <family val="2"/>
      <scheme val="minor"/>
    </font>
    <font>
      <i/>
      <sz val="11"/>
      <name val="Calibri"/>
      <family val="2"/>
      <scheme val="minor"/>
    </font>
    <font>
      <sz val="11"/>
      <name val="Calibri"/>
      <family val="2"/>
      <scheme val="minor"/>
    </font>
    <font>
      <b/>
      <i/>
      <sz val="11"/>
      <name val="Calibri"/>
      <family val="2"/>
      <scheme val="minor"/>
    </font>
    <font>
      <b/>
      <sz val="15"/>
      <color theme="1"/>
      <name val="Calibri"/>
      <family val="2"/>
      <charset val="238"/>
      <scheme val="minor"/>
    </font>
    <font>
      <sz val="11"/>
      <color rgb="FFFF0000"/>
      <name val="Calibri"/>
      <family val="2"/>
      <charset val="238"/>
      <scheme val="minor"/>
    </font>
    <font>
      <i/>
      <sz val="11"/>
      <color rgb="FFFF0000"/>
      <name val="Calibri"/>
      <family val="2"/>
      <scheme val="minor"/>
    </font>
    <font>
      <b/>
      <sz val="11"/>
      <color rgb="FFFF0000"/>
      <name val="Calibri"/>
      <family val="2"/>
      <charset val="238"/>
      <scheme val="minor"/>
    </font>
    <font>
      <b/>
      <sz val="11"/>
      <color rgb="FFFF000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99FF6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</fills>
  <borders count="3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44" fontId="6" fillId="0" borderId="0" applyFont="0" applyFill="0" applyBorder="0" applyAlignment="0" applyProtection="0"/>
    <xf numFmtId="9" fontId="6" fillId="0" borderId="0" applyFont="0" applyFill="0" applyBorder="0" applyAlignment="0" applyProtection="0"/>
  </cellStyleXfs>
  <cellXfs count="116">
    <xf numFmtId="0" fontId="0" fillId="0" borderId="0" xfId="0"/>
    <xf numFmtId="0" fontId="3" fillId="0" borderId="0" xfId="0" applyFont="1"/>
    <xf numFmtId="0" fontId="0" fillId="0" borderId="1" xfId="0" applyBorder="1"/>
    <xf numFmtId="164" fontId="0" fillId="0" borderId="1" xfId="0" applyNumberFormat="1" applyBorder="1" applyAlignment="1">
      <alignment horizontal="right" vertical="center" wrapText="1"/>
    </xf>
    <xf numFmtId="164" fontId="5" fillId="0" borderId="0" xfId="0" applyNumberFormat="1" applyFont="1"/>
    <xf numFmtId="166" fontId="0" fillId="0" borderId="0" xfId="1" applyNumberFormat="1" applyFont="1"/>
    <xf numFmtId="9" fontId="0" fillId="0" borderId="0" xfId="2" applyFont="1"/>
    <xf numFmtId="166" fontId="0" fillId="0" borderId="1" xfId="1" applyNumberFormat="1" applyFont="1" applyBorder="1"/>
    <xf numFmtId="9" fontId="0" fillId="0" borderId="1" xfId="2" applyFont="1" applyBorder="1"/>
    <xf numFmtId="9" fontId="0" fillId="0" borderId="6" xfId="2" applyFont="1" applyBorder="1"/>
    <xf numFmtId="166" fontId="0" fillId="0" borderId="13" xfId="1" applyNumberFormat="1" applyFont="1" applyBorder="1"/>
    <xf numFmtId="9" fontId="0" fillId="0" borderId="12" xfId="2" applyFont="1" applyBorder="1"/>
    <xf numFmtId="0" fontId="2" fillId="0" borderId="9" xfId="0" applyFont="1" applyFill="1" applyBorder="1" applyAlignment="1">
      <alignment horizontal="center" vertical="center" wrapText="1" readingOrder="1"/>
    </xf>
    <xf numFmtId="0" fontId="7" fillId="0" borderId="5" xfId="0" applyFont="1" applyBorder="1" applyAlignment="1">
      <alignment horizontal="center" vertical="center"/>
    </xf>
    <xf numFmtId="0" fontId="7" fillId="0" borderId="11" xfId="0" applyFont="1" applyBorder="1" applyAlignment="1">
      <alignment horizontal="center" vertical="center"/>
    </xf>
    <xf numFmtId="9" fontId="0" fillId="0" borderId="0" xfId="0" applyNumberFormat="1"/>
    <xf numFmtId="0" fontId="9" fillId="0" borderId="0" xfId="0" applyFont="1"/>
    <xf numFmtId="10" fontId="0" fillId="0" borderId="1" xfId="0" applyNumberFormat="1" applyBorder="1"/>
    <xf numFmtId="9" fontId="10" fillId="4" borderId="1" xfId="0" applyNumberFormat="1" applyFont="1" applyFill="1" applyBorder="1" applyAlignment="1" applyProtection="1">
      <alignment horizontal="center" wrapText="1"/>
    </xf>
    <xf numFmtId="9" fontId="11" fillId="4" borderId="1" xfId="0" applyNumberFormat="1" applyFont="1" applyFill="1" applyBorder="1" applyAlignment="1" applyProtection="1">
      <alignment horizontal="center"/>
      <protection locked="0"/>
    </xf>
    <xf numFmtId="0" fontId="1" fillId="4" borderId="5" xfId="0" applyFont="1" applyFill="1" applyBorder="1" applyAlignment="1">
      <alignment horizontal="left" vertical="center"/>
    </xf>
    <xf numFmtId="0" fontId="1" fillId="4" borderId="11" xfId="0" applyFont="1" applyFill="1" applyBorder="1" applyAlignment="1">
      <alignment horizontal="left" vertical="center"/>
    </xf>
    <xf numFmtId="9" fontId="10" fillId="4" borderId="13" xfId="0" applyNumberFormat="1" applyFont="1" applyFill="1" applyBorder="1" applyAlignment="1" applyProtection="1">
      <alignment horizontal="center" wrapText="1"/>
      <protection locked="0"/>
    </xf>
    <xf numFmtId="164" fontId="0" fillId="0" borderId="13" xfId="0" applyNumberFormat="1" applyBorder="1" applyAlignment="1">
      <alignment horizontal="right" vertical="center" wrapText="1"/>
    </xf>
    <xf numFmtId="10" fontId="10" fillId="4" borderId="1" xfId="0" applyNumberFormat="1" applyFont="1" applyFill="1" applyBorder="1" applyAlignment="1" applyProtection="1">
      <alignment horizontal="center" vertical="center" wrapText="1"/>
    </xf>
    <xf numFmtId="0" fontId="9" fillId="4" borderId="1" xfId="0" applyFont="1" applyFill="1" applyBorder="1"/>
    <xf numFmtId="0" fontId="9" fillId="0" borderId="5" xfId="0" applyFont="1" applyBorder="1"/>
    <xf numFmtId="0" fontId="9" fillId="0" borderId="6" xfId="0" applyFont="1" applyBorder="1"/>
    <xf numFmtId="0" fontId="0" fillId="0" borderId="5" xfId="0" applyBorder="1"/>
    <xf numFmtId="9" fontId="0" fillId="0" borderId="6" xfId="0" applyNumberFormat="1" applyBorder="1"/>
    <xf numFmtId="10" fontId="0" fillId="0" borderId="6" xfId="0" applyNumberFormat="1" applyBorder="1"/>
    <xf numFmtId="0" fontId="0" fillId="0" borderId="11" xfId="0" applyBorder="1"/>
    <xf numFmtId="10" fontId="0" fillId="0" borderId="12" xfId="0" applyNumberFormat="1" applyBorder="1"/>
    <xf numFmtId="167" fontId="0" fillId="0" borderId="1" xfId="0" applyNumberFormat="1" applyBorder="1"/>
    <xf numFmtId="165" fontId="10" fillId="4" borderId="1" xfId="0" applyNumberFormat="1" applyFont="1" applyFill="1" applyBorder="1" applyAlignment="1" applyProtection="1">
      <alignment horizontal="center" wrapText="1"/>
    </xf>
    <xf numFmtId="9" fontId="11" fillId="4" borderId="1" xfId="0" applyNumberFormat="1" applyFont="1" applyFill="1" applyBorder="1" applyAlignment="1" applyProtection="1">
      <alignment horizontal="center"/>
    </xf>
    <xf numFmtId="164" fontId="0" fillId="0" borderId="19" xfId="0" applyNumberFormat="1" applyBorder="1" applyAlignment="1">
      <alignment horizontal="right" vertical="center" wrapText="1"/>
    </xf>
    <xf numFmtId="164" fontId="4" fillId="0" borderId="20" xfId="0" applyNumberFormat="1" applyFont="1" applyFill="1" applyBorder="1" applyAlignment="1">
      <alignment horizontal="right" vertical="center" wrapText="1"/>
    </xf>
    <xf numFmtId="164" fontId="10" fillId="4" borderId="1" xfId="0" applyNumberFormat="1" applyFont="1" applyFill="1" applyBorder="1" applyAlignment="1" applyProtection="1">
      <alignment horizontal="center" vertical="center"/>
    </xf>
    <xf numFmtId="0" fontId="8" fillId="5" borderId="7" xfId="0" applyFont="1" applyFill="1" applyBorder="1" applyAlignment="1">
      <alignment horizontal="center" vertical="center" wrapText="1"/>
    </xf>
    <xf numFmtId="0" fontId="1" fillId="4" borderId="22" xfId="0" applyFont="1" applyFill="1" applyBorder="1" applyAlignment="1">
      <alignment horizontal="center" vertical="center" wrapText="1"/>
    </xf>
    <xf numFmtId="0" fontId="1" fillId="4" borderId="14" xfId="0" applyFont="1" applyFill="1" applyBorder="1" applyAlignment="1">
      <alignment horizontal="center" vertical="center" wrapText="1"/>
    </xf>
    <xf numFmtId="0" fontId="1" fillId="4" borderId="23" xfId="0" applyFont="1" applyFill="1" applyBorder="1" applyAlignment="1">
      <alignment horizontal="center" vertical="center" wrapText="1"/>
    </xf>
    <xf numFmtId="0" fontId="1" fillId="4" borderId="7" xfId="0" applyFont="1" applyFill="1" applyBorder="1" applyAlignment="1">
      <alignment horizontal="left" vertical="center"/>
    </xf>
    <xf numFmtId="9" fontId="11" fillId="4" borderId="8" xfId="0" applyNumberFormat="1" applyFont="1" applyFill="1" applyBorder="1" applyAlignment="1" applyProtection="1">
      <alignment horizontal="center"/>
    </xf>
    <xf numFmtId="164" fontId="10" fillId="4" borderId="8" xfId="0" applyNumberFormat="1" applyFont="1" applyFill="1" applyBorder="1" applyAlignment="1" applyProtection="1">
      <alignment horizontal="center" vertical="center"/>
    </xf>
    <xf numFmtId="164" fontId="0" fillId="0" borderId="8" xfId="0" applyNumberFormat="1" applyBorder="1" applyAlignment="1">
      <alignment horizontal="right" vertical="center" wrapText="1"/>
    </xf>
    <xf numFmtId="164" fontId="0" fillId="0" borderId="4" xfId="0" applyNumberFormat="1" applyBorder="1" applyAlignment="1">
      <alignment horizontal="right" vertical="center" wrapText="1"/>
    </xf>
    <xf numFmtId="164" fontId="10" fillId="4" borderId="13" xfId="0" applyNumberFormat="1" applyFont="1" applyFill="1" applyBorder="1" applyAlignment="1" applyProtection="1">
      <alignment horizontal="center" vertical="center"/>
    </xf>
    <xf numFmtId="164" fontId="0" fillId="0" borderId="24" xfId="0" applyNumberFormat="1" applyBorder="1" applyAlignment="1">
      <alignment horizontal="right" vertical="center" wrapText="1"/>
    </xf>
    <xf numFmtId="3" fontId="12" fillId="2" borderId="8" xfId="0" applyNumberFormat="1" applyFont="1" applyFill="1" applyBorder="1" applyAlignment="1" applyProtection="1">
      <alignment horizontal="center" vertical="center"/>
      <protection locked="0"/>
    </xf>
    <xf numFmtId="164" fontId="12" fillId="2" borderId="8" xfId="0" applyNumberFormat="1" applyFont="1" applyFill="1" applyBorder="1" applyAlignment="1" applyProtection="1">
      <alignment horizontal="center" vertical="center"/>
      <protection locked="0"/>
    </xf>
    <xf numFmtId="0" fontId="9" fillId="2" borderId="8" xfId="0" applyFont="1" applyFill="1" applyBorder="1" applyAlignment="1" applyProtection="1">
      <alignment horizontal="center"/>
      <protection locked="0"/>
    </xf>
    <xf numFmtId="3" fontId="12" fillId="2" borderId="1" xfId="0" applyNumberFormat="1" applyFont="1" applyFill="1" applyBorder="1" applyAlignment="1" applyProtection="1">
      <alignment horizontal="center" vertical="center"/>
      <protection locked="0"/>
    </xf>
    <xf numFmtId="164" fontId="12" fillId="2" borderId="1" xfId="0" applyNumberFormat="1" applyFont="1" applyFill="1" applyBorder="1" applyAlignment="1" applyProtection="1">
      <alignment horizontal="center" vertical="center"/>
      <protection locked="0"/>
    </xf>
    <xf numFmtId="0" fontId="9" fillId="2" borderId="1" xfId="0" applyFont="1" applyFill="1" applyBorder="1" applyAlignment="1" applyProtection="1">
      <alignment horizontal="center"/>
      <protection locked="0"/>
    </xf>
    <xf numFmtId="3" fontId="12" fillId="2" borderId="13" xfId="0" applyNumberFormat="1" applyFont="1" applyFill="1" applyBorder="1" applyAlignment="1" applyProtection="1">
      <alignment horizontal="center" vertical="center"/>
      <protection locked="0"/>
    </xf>
    <xf numFmtId="164" fontId="12" fillId="2" borderId="13" xfId="0" applyNumberFormat="1" applyFont="1" applyFill="1" applyBorder="1" applyAlignment="1" applyProtection="1">
      <alignment horizontal="center" vertical="center"/>
      <protection locked="0"/>
    </xf>
    <xf numFmtId="0" fontId="9" fillId="2" borderId="13" xfId="0" applyFont="1" applyFill="1" applyBorder="1" applyAlignment="1" applyProtection="1">
      <alignment horizontal="center"/>
      <protection locked="0"/>
    </xf>
    <xf numFmtId="164" fontId="9" fillId="0" borderId="25" xfId="0" applyNumberFormat="1" applyFont="1" applyBorder="1"/>
    <xf numFmtId="164" fontId="9" fillId="0" borderId="26" xfId="0" applyNumberFormat="1" applyFont="1" applyBorder="1"/>
    <xf numFmtId="164" fontId="4" fillId="0" borderId="17" xfId="0" applyNumberFormat="1" applyFont="1" applyFill="1" applyBorder="1" applyAlignment="1">
      <alignment horizontal="right" vertical="center" wrapText="1"/>
    </xf>
    <xf numFmtId="164" fontId="4" fillId="0" borderId="18" xfId="0" applyNumberFormat="1" applyFont="1" applyFill="1" applyBorder="1" applyAlignment="1">
      <alignment horizontal="right" vertical="center" wrapText="1"/>
    </xf>
    <xf numFmtId="9" fontId="1" fillId="4" borderId="22" xfId="2" applyFont="1" applyFill="1" applyBorder="1" applyAlignment="1">
      <alignment horizontal="center" vertical="center" wrapText="1"/>
    </xf>
    <xf numFmtId="9" fontId="0" fillId="0" borderId="8" xfId="2" applyFont="1" applyBorder="1" applyAlignment="1">
      <alignment horizontal="right" vertical="center" wrapText="1"/>
    </xf>
    <xf numFmtId="9" fontId="0" fillId="0" borderId="1" xfId="2" applyFont="1" applyBorder="1" applyAlignment="1">
      <alignment horizontal="right" vertical="center" wrapText="1"/>
    </xf>
    <xf numFmtId="165" fontId="0" fillId="0" borderId="13" xfId="2" applyNumberFormat="1" applyFont="1" applyBorder="1" applyAlignment="1">
      <alignment horizontal="right" vertical="center" wrapText="1"/>
    </xf>
    <xf numFmtId="166" fontId="0" fillId="0" borderId="8" xfId="1" applyNumberFormat="1" applyFont="1" applyBorder="1" applyAlignment="1">
      <alignment horizontal="right" vertical="center" wrapText="1"/>
    </xf>
    <xf numFmtId="166" fontId="0" fillId="0" borderId="1" xfId="1" applyNumberFormat="1" applyFont="1" applyBorder="1" applyAlignment="1">
      <alignment horizontal="right" vertical="center" wrapText="1"/>
    </xf>
    <xf numFmtId="166" fontId="0" fillId="0" borderId="13" xfId="1" applyNumberFormat="1" applyFont="1" applyBorder="1" applyAlignment="1">
      <alignment horizontal="right" vertical="center" wrapText="1"/>
    </xf>
    <xf numFmtId="0" fontId="13" fillId="2" borderId="15" xfId="0" applyFont="1" applyFill="1" applyBorder="1" applyAlignment="1">
      <alignment horizontal="center" vertical="center" wrapText="1"/>
    </xf>
    <xf numFmtId="164" fontId="0" fillId="4" borderId="1" xfId="0" applyNumberFormat="1" applyFill="1" applyBorder="1"/>
    <xf numFmtId="164" fontId="3" fillId="4" borderId="1" xfId="0" applyNumberFormat="1" applyFont="1" applyFill="1" applyBorder="1"/>
    <xf numFmtId="165" fontId="0" fillId="0" borderId="0" xfId="2" applyNumberFormat="1" applyFont="1"/>
    <xf numFmtId="0" fontId="9" fillId="2" borderId="1" xfId="0" applyFont="1" applyFill="1" applyBorder="1"/>
    <xf numFmtId="10" fontId="9" fillId="2" borderId="1" xfId="2" applyNumberFormat="1" applyFont="1" applyFill="1" applyBorder="1" applyProtection="1">
      <protection locked="0"/>
    </xf>
    <xf numFmtId="0" fontId="0" fillId="2" borderId="1" xfId="0" applyFill="1" applyBorder="1" applyProtection="1">
      <protection locked="0"/>
    </xf>
    <xf numFmtId="166" fontId="0" fillId="2" borderId="1" xfId="1" applyNumberFormat="1" applyFont="1" applyFill="1" applyBorder="1" applyProtection="1">
      <protection locked="0"/>
    </xf>
    <xf numFmtId="166" fontId="3" fillId="6" borderId="1" xfId="1" applyNumberFormat="1" applyFont="1" applyFill="1" applyBorder="1" applyProtection="1">
      <protection locked="0"/>
    </xf>
    <xf numFmtId="0" fontId="1" fillId="7" borderId="5" xfId="0" applyFont="1" applyFill="1" applyBorder="1" applyAlignment="1">
      <alignment horizontal="left" vertical="center"/>
    </xf>
    <xf numFmtId="0" fontId="1" fillId="5" borderId="5" xfId="0" applyFont="1" applyFill="1" applyBorder="1" applyAlignment="1">
      <alignment horizontal="left" vertical="center"/>
    </xf>
    <xf numFmtId="0" fontId="9" fillId="5" borderId="1" xfId="0" applyFont="1" applyFill="1" applyBorder="1"/>
    <xf numFmtId="0" fontId="9" fillId="7" borderId="1" xfId="0" applyFont="1" applyFill="1" applyBorder="1"/>
    <xf numFmtId="164" fontId="15" fillId="4" borderId="8" xfId="0" applyNumberFormat="1" applyFont="1" applyFill="1" applyBorder="1" applyAlignment="1" applyProtection="1">
      <alignment horizontal="center" vertical="center"/>
    </xf>
    <xf numFmtId="164" fontId="15" fillId="4" borderId="1" xfId="0" applyNumberFormat="1" applyFont="1" applyFill="1" applyBorder="1" applyAlignment="1" applyProtection="1">
      <alignment horizontal="center" vertical="center"/>
    </xf>
    <xf numFmtId="0" fontId="14" fillId="0" borderId="0" xfId="0" applyFont="1"/>
    <xf numFmtId="0" fontId="16" fillId="7" borderId="7" xfId="0" applyFont="1" applyFill="1" applyBorder="1" applyAlignment="1">
      <alignment horizontal="left" vertical="center"/>
    </xf>
    <xf numFmtId="10" fontId="9" fillId="8" borderId="1" xfId="2" applyNumberFormat="1" applyFont="1" applyFill="1" applyBorder="1" applyProtection="1">
      <protection locked="0"/>
    </xf>
    <xf numFmtId="0" fontId="1" fillId="5" borderId="11" xfId="0" applyFont="1" applyFill="1" applyBorder="1" applyAlignment="1">
      <alignment horizontal="left" vertical="center"/>
    </xf>
    <xf numFmtId="44" fontId="9" fillId="3" borderId="2" xfId="1" applyFont="1" applyFill="1" applyBorder="1" applyAlignment="1">
      <alignment horizontal="center"/>
    </xf>
    <xf numFmtId="44" fontId="9" fillId="3" borderId="3" xfId="1" applyFont="1" applyFill="1" applyBorder="1" applyAlignment="1">
      <alignment horizontal="center"/>
    </xf>
    <xf numFmtId="0" fontId="2" fillId="0" borderId="16" xfId="0" applyFont="1" applyFill="1" applyBorder="1" applyAlignment="1">
      <alignment horizontal="center" vertical="center" wrapText="1" readingOrder="1"/>
    </xf>
    <xf numFmtId="0" fontId="2" fillId="0" borderId="21" xfId="0" applyFont="1" applyFill="1" applyBorder="1" applyAlignment="1">
      <alignment horizontal="center" vertical="center" wrapText="1" readingOrder="1"/>
    </xf>
    <xf numFmtId="44" fontId="9" fillId="3" borderId="7" xfId="1" applyFont="1" applyFill="1" applyBorder="1" applyAlignment="1">
      <alignment horizontal="center"/>
    </xf>
    <xf numFmtId="44" fontId="9" fillId="3" borderId="9" xfId="1" applyFont="1" applyFill="1" applyBorder="1" applyAlignment="1">
      <alignment horizontal="center"/>
    </xf>
    <xf numFmtId="44" fontId="9" fillId="3" borderId="1" xfId="1" applyFont="1" applyFill="1" applyBorder="1" applyAlignment="1">
      <alignment horizontal="center"/>
    </xf>
    <xf numFmtId="44" fontId="9" fillId="3" borderId="4" xfId="1" applyFont="1" applyFill="1" applyBorder="1" applyAlignment="1">
      <alignment horizontal="center"/>
    </xf>
    <xf numFmtId="9" fontId="0" fillId="0" borderId="8" xfId="2" applyFont="1" applyBorder="1" applyAlignment="1">
      <alignment horizontal="center" vertical="center" wrapText="1"/>
    </xf>
    <xf numFmtId="9" fontId="0" fillId="0" borderId="1" xfId="2" applyFont="1" applyBorder="1" applyAlignment="1">
      <alignment horizontal="center" vertical="center" wrapText="1"/>
    </xf>
    <xf numFmtId="9" fontId="0" fillId="0" borderId="13" xfId="2" applyFont="1" applyBorder="1" applyAlignment="1">
      <alignment horizontal="center" vertical="center" wrapText="1"/>
    </xf>
    <xf numFmtId="164" fontId="0" fillId="0" borderId="14" xfId="0" applyNumberFormat="1" applyBorder="1" applyAlignment="1">
      <alignment horizontal="center" vertical="center" wrapText="1"/>
    </xf>
    <xf numFmtId="164" fontId="0" fillId="0" borderId="10" xfId="0" applyNumberFormat="1" applyBorder="1" applyAlignment="1">
      <alignment horizontal="center" vertical="center" wrapText="1"/>
    </xf>
    <xf numFmtId="164" fontId="0" fillId="0" borderId="20" xfId="0" applyNumberFormat="1" applyBorder="1" applyAlignment="1">
      <alignment horizontal="center" vertical="center" wrapText="1"/>
    </xf>
    <xf numFmtId="9" fontId="0" fillId="8" borderId="8" xfId="2" applyFont="1" applyFill="1" applyBorder="1" applyAlignment="1">
      <alignment horizontal="center" vertical="center" wrapText="1"/>
    </xf>
    <xf numFmtId="9" fontId="0" fillId="8" borderId="1" xfId="2" applyFont="1" applyFill="1" applyBorder="1" applyAlignment="1">
      <alignment horizontal="center" vertical="center" wrapText="1"/>
    </xf>
    <xf numFmtId="0" fontId="17" fillId="7" borderId="0" xfId="0" applyFont="1" applyFill="1"/>
    <xf numFmtId="0" fontId="1" fillId="0" borderId="33" xfId="0" applyFont="1" applyFill="1" applyBorder="1" applyAlignment="1">
      <alignment horizontal="left" vertical="center"/>
    </xf>
    <xf numFmtId="0" fontId="0" fillId="0" borderId="34" xfId="0" applyFill="1" applyBorder="1"/>
    <xf numFmtId="0" fontId="1" fillId="0" borderId="27" xfId="0" applyFont="1" applyFill="1" applyBorder="1" applyAlignment="1">
      <alignment horizontal="left" vertical="center"/>
    </xf>
    <xf numFmtId="11" fontId="1" fillId="0" borderId="29" xfId="0" applyNumberFormat="1" applyFont="1" applyFill="1" applyBorder="1" applyAlignment="1">
      <alignment horizontal="left" vertical="center"/>
    </xf>
    <xf numFmtId="0" fontId="1" fillId="0" borderId="31" xfId="0" applyFont="1" applyFill="1" applyBorder="1" applyAlignment="1">
      <alignment horizontal="left" vertical="center"/>
    </xf>
    <xf numFmtId="9" fontId="14" fillId="0" borderId="28" xfId="0" applyNumberFormat="1" applyFont="1" applyFill="1" applyBorder="1"/>
    <xf numFmtId="9" fontId="14" fillId="0" borderId="30" xfId="0" applyNumberFormat="1" applyFont="1" applyFill="1" applyBorder="1"/>
    <xf numFmtId="9" fontId="14" fillId="0" borderId="32" xfId="0" applyNumberFormat="1" applyFont="1" applyFill="1" applyBorder="1"/>
    <xf numFmtId="0" fontId="0" fillId="0" borderId="0" xfId="0" applyFill="1" applyBorder="1"/>
    <xf numFmtId="164" fontId="12" fillId="0" borderId="0" xfId="0" applyNumberFormat="1" applyFont="1" applyFill="1" applyBorder="1" applyAlignment="1" applyProtection="1">
      <alignment horizontal="center" vertical="center"/>
      <protection locked="0"/>
    </xf>
  </cellXfs>
  <cellStyles count="3">
    <cellStyle name="Currency" xfId="1" builtinId="4"/>
    <cellStyle name="Normal" xfId="0" builtinId="0"/>
    <cellStyle name="Percent" xfId="2" builtinId="5"/>
  </cellStyles>
  <dxfs count="0"/>
  <tableStyles count="0" defaultTableStyle="TableStyleMedium2" defaultPivotStyle="PivotStyleLight16"/>
  <colors>
    <mruColors>
      <color rgb="FFFFFF99"/>
      <color rgb="FFFFFFCC"/>
      <color rgb="FF99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ABB812-FE1C-4575-82C8-51FC276D254A}">
  <dimension ref="A1:W26"/>
  <sheetViews>
    <sheetView topLeftCell="C1" workbookViewId="0">
      <selection activeCell="V11" sqref="V11"/>
    </sheetView>
  </sheetViews>
  <sheetFormatPr defaultRowHeight="14.4" x14ac:dyDescent="0.3"/>
  <cols>
    <col min="1" max="1" width="13.6640625" bestFit="1" customWidth="1"/>
    <col min="2" max="2" width="8.88671875" customWidth="1"/>
    <col min="3" max="3" width="3.44140625" customWidth="1"/>
    <col min="4" max="4" width="12.33203125" bestFit="1" customWidth="1"/>
    <col min="5" max="5" width="14.5546875" bestFit="1" customWidth="1"/>
    <col min="6" max="6" width="7.88671875" bestFit="1" customWidth="1"/>
    <col min="7" max="7" width="4" customWidth="1"/>
    <col min="9" max="9" width="13.6640625" bestFit="1" customWidth="1"/>
    <col min="10" max="12" width="11" bestFit="1" customWidth="1"/>
    <col min="13" max="13" width="3" customWidth="1"/>
    <col min="14" max="14" width="11" bestFit="1" customWidth="1"/>
    <col min="16" max="16" width="3.44140625" customWidth="1"/>
    <col min="19" max="19" width="3.44140625" customWidth="1"/>
    <col min="21" max="22" width="12.33203125" bestFit="1" customWidth="1"/>
  </cols>
  <sheetData>
    <row r="1" spans="1:23" ht="66" x14ac:dyDescent="0.3">
      <c r="A1" s="93" t="s">
        <v>12</v>
      </c>
      <c r="B1" s="94"/>
      <c r="D1" s="95" t="s">
        <v>21</v>
      </c>
      <c r="E1" s="95"/>
      <c r="F1" s="95"/>
      <c r="H1" s="89" t="s">
        <v>23</v>
      </c>
      <c r="I1" s="90"/>
      <c r="J1" s="90"/>
      <c r="K1" s="90"/>
      <c r="L1" s="96"/>
      <c r="N1" s="89" t="s">
        <v>26</v>
      </c>
      <c r="O1" s="90"/>
      <c r="Q1" s="89" t="s">
        <v>27</v>
      </c>
      <c r="R1" s="90"/>
      <c r="T1" s="39" t="s">
        <v>7</v>
      </c>
      <c r="U1" s="91" t="s">
        <v>9</v>
      </c>
      <c r="V1" s="92"/>
      <c r="W1" s="12" t="s">
        <v>8</v>
      </c>
    </row>
    <row r="2" spans="1:23" ht="15.6" x14ac:dyDescent="0.3">
      <c r="A2" s="26" t="s">
        <v>11</v>
      </c>
      <c r="B2" s="27" t="s">
        <v>13</v>
      </c>
      <c r="D2" s="7">
        <v>0</v>
      </c>
      <c r="E2" s="7">
        <v>1199999</v>
      </c>
      <c r="F2" s="17">
        <v>7.4999999999999997E-3</v>
      </c>
      <c r="H2" s="2"/>
      <c r="I2" s="7">
        <v>0</v>
      </c>
      <c r="J2" s="33">
        <v>250000</v>
      </c>
      <c r="K2" s="33">
        <v>350000</v>
      </c>
      <c r="L2" s="33">
        <v>650000</v>
      </c>
      <c r="N2" s="28">
        <v>1</v>
      </c>
      <c r="O2" s="9">
        <v>0.05</v>
      </c>
      <c r="Q2" s="28">
        <v>1</v>
      </c>
      <c r="R2" s="9">
        <v>0.28999999999999998</v>
      </c>
      <c r="T2" s="13">
        <v>0</v>
      </c>
      <c r="U2" s="7">
        <v>0</v>
      </c>
      <c r="V2" s="7">
        <v>449999</v>
      </c>
      <c r="W2" s="9">
        <v>0</v>
      </c>
    </row>
    <row r="3" spans="1:23" ht="15.6" x14ac:dyDescent="0.3">
      <c r="A3" s="28">
        <v>5</v>
      </c>
      <c r="B3" s="29">
        <v>0.05</v>
      </c>
      <c r="D3" s="7">
        <v>1200000</v>
      </c>
      <c r="E3" s="7">
        <v>1799999</v>
      </c>
      <c r="F3" s="17">
        <v>1.2500000000000001E-2</v>
      </c>
      <c r="H3" s="2">
        <v>5</v>
      </c>
      <c r="I3" s="8">
        <v>0</v>
      </c>
      <c r="J3" s="8">
        <v>0</v>
      </c>
      <c r="K3" s="8">
        <v>0</v>
      </c>
      <c r="L3" s="8">
        <v>0</v>
      </c>
      <c r="N3" s="28">
        <v>2</v>
      </c>
      <c r="O3" s="29">
        <v>0.1</v>
      </c>
      <c r="Q3" s="28">
        <v>2</v>
      </c>
      <c r="R3" s="29">
        <v>0.28999999999999998</v>
      </c>
      <c r="T3" s="13">
        <v>1</v>
      </c>
      <c r="U3" s="7">
        <v>450000</v>
      </c>
      <c r="V3" s="7">
        <v>899999</v>
      </c>
      <c r="W3" s="9">
        <v>0.3</v>
      </c>
    </row>
    <row r="4" spans="1:23" ht="15.6" x14ac:dyDescent="0.3">
      <c r="A4" s="28">
        <v>6</v>
      </c>
      <c r="B4" s="30">
        <v>9.5000000000000001E-2</v>
      </c>
      <c r="D4" s="7">
        <v>1800000</v>
      </c>
      <c r="E4" s="7">
        <v>3999999</v>
      </c>
      <c r="F4" s="17">
        <v>0.02</v>
      </c>
      <c r="H4" s="2">
        <v>6</v>
      </c>
      <c r="I4" s="8">
        <v>0</v>
      </c>
      <c r="J4" s="8">
        <v>0</v>
      </c>
      <c r="K4" s="8">
        <v>0</v>
      </c>
      <c r="L4" s="8">
        <v>0</v>
      </c>
      <c r="N4" s="28">
        <v>3</v>
      </c>
      <c r="O4" s="29">
        <v>0.15</v>
      </c>
      <c r="Q4" s="28">
        <v>3</v>
      </c>
      <c r="R4" s="29">
        <v>0.28999999999999998</v>
      </c>
      <c r="T4" s="13">
        <v>2</v>
      </c>
      <c r="U4" s="7">
        <v>900000</v>
      </c>
      <c r="V4" s="7">
        <v>1799999</v>
      </c>
      <c r="W4" s="9">
        <v>0.4</v>
      </c>
    </row>
    <row r="5" spans="1:23" ht="16.2" thickBot="1" x14ac:dyDescent="0.35">
      <c r="A5" s="28">
        <v>7</v>
      </c>
      <c r="B5" s="29">
        <v>0.14000000000000001</v>
      </c>
      <c r="D5" s="7">
        <v>4000000</v>
      </c>
      <c r="E5" s="7">
        <v>100000000</v>
      </c>
      <c r="F5" s="17">
        <v>2.75E-2</v>
      </c>
      <c r="H5" s="2">
        <v>7</v>
      </c>
      <c r="I5" s="8">
        <v>0</v>
      </c>
      <c r="J5" s="8">
        <v>0</v>
      </c>
      <c r="K5" s="8">
        <v>0</v>
      </c>
      <c r="L5" s="8">
        <v>0</v>
      </c>
      <c r="N5" s="28">
        <v>4</v>
      </c>
      <c r="O5" s="29">
        <v>0.2</v>
      </c>
      <c r="Q5" s="28">
        <v>4</v>
      </c>
      <c r="R5" s="9">
        <v>0.28999999999999998</v>
      </c>
      <c r="T5" s="14">
        <v>3</v>
      </c>
      <c r="U5" s="10">
        <v>1800000</v>
      </c>
      <c r="V5" s="10">
        <v>974999</v>
      </c>
      <c r="W5" s="11">
        <v>0.5</v>
      </c>
    </row>
    <row r="6" spans="1:23" x14ac:dyDescent="0.3">
      <c r="A6" s="28">
        <v>8</v>
      </c>
      <c r="B6" s="30">
        <v>0.185</v>
      </c>
      <c r="D6" s="5"/>
      <c r="E6" s="5"/>
      <c r="H6" s="2">
        <v>8</v>
      </c>
      <c r="I6" s="8">
        <v>0</v>
      </c>
      <c r="J6" s="8">
        <v>0</v>
      </c>
      <c r="K6" s="8">
        <v>0</v>
      </c>
      <c r="L6" s="8">
        <v>0</v>
      </c>
      <c r="N6" s="28">
        <v>5</v>
      </c>
      <c r="O6" s="29">
        <v>0.25</v>
      </c>
      <c r="Q6" s="28">
        <v>5</v>
      </c>
      <c r="R6" s="29">
        <v>0.28999999999999998</v>
      </c>
    </row>
    <row r="7" spans="1:23" x14ac:dyDescent="0.3">
      <c r="A7" s="28">
        <v>9</v>
      </c>
      <c r="B7" s="29">
        <v>0.23</v>
      </c>
      <c r="D7" s="5"/>
      <c r="H7" s="2">
        <v>9</v>
      </c>
      <c r="I7" s="8">
        <v>0</v>
      </c>
      <c r="J7" s="8">
        <v>0</v>
      </c>
      <c r="K7" s="8">
        <v>0.08</v>
      </c>
      <c r="L7" s="8">
        <v>0.1</v>
      </c>
      <c r="N7" s="28">
        <v>6</v>
      </c>
      <c r="O7" s="29">
        <v>0.55000000000000004</v>
      </c>
      <c r="Q7" s="28">
        <v>6</v>
      </c>
      <c r="R7" s="29">
        <v>0.55000000000000004</v>
      </c>
    </row>
    <row r="8" spans="1:23" x14ac:dyDescent="0.3">
      <c r="A8" s="28">
        <v>10</v>
      </c>
      <c r="B8" s="30">
        <v>0.27500000000000002</v>
      </c>
      <c r="H8" s="2">
        <v>10</v>
      </c>
      <c r="I8" s="8">
        <v>0.11</v>
      </c>
      <c r="J8" s="8">
        <v>0.15</v>
      </c>
      <c r="K8" s="8">
        <v>0.2</v>
      </c>
      <c r="L8" s="8">
        <v>0.25</v>
      </c>
      <c r="N8" s="28">
        <v>7</v>
      </c>
      <c r="O8" s="9">
        <v>0.55000000000000004</v>
      </c>
      <c r="Q8" s="28">
        <v>7</v>
      </c>
      <c r="R8" s="9">
        <v>0.55000000000000004</v>
      </c>
    </row>
    <row r="9" spans="1:23" x14ac:dyDescent="0.3">
      <c r="A9" s="28">
        <v>11</v>
      </c>
      <c r="B9" s="30">
        <v>0.27500000000000002</v>
      </c>
      <c r="H9" s="2">
        <v>11</v>
      </c>
      <c r="I9" s="8">
        <v>0.13</v>
      </c>
      <c r="J9" s="8">
        <v>0.17</v>
      </c>
      <c r="K9" s="8">
        <v>0.22</v>
      </c>
      <c r="L9" s="8">
        <v>0.27</v>
      </c>
      <c r="N9" s="28">
        <v>8</v>
      </c>
      <c r="O9" s="9">
        <v>0.55000000000000004</v>
      </c>
      <c r="Q9" s="28">
        <v>8</v>
      </c>
      <c r="R9" s="9">
        <v>0.55000000000000004</v>
      </c>
    </row>
    <row r="10" spans="1:23" x14ac:dyDescent="0.3">
      <c r="A10" s="28">
        <v>12</v>
      </c>
      <c r="B10" s="30">
        <v>0.27500000000000002</v>
      </c>
      <c r="H10" s="2">
        <v>12</v>
      </c>
      <c r="I10" s="8">
        <v>0.14000000000000001</v>
      </c>
      <c r="J10" s="8">
        <v>0.19</v>
      </c>
      <c r="K10" s="8">
        <v>0.24</v>
      </c>
      <c r="L10" s="8">
        <v>0.28999999999999998</v>
      </c>
      <c r="N10" s="28">
        <v>9</v>
      </c>
      <c r="O10" s="9">
        <v>0.55000000000000004</v>
      </c>
      <c r="Q10" s="28">
        <v>9</v>
      </c>
      <c r="R10" s="9">
        <v>0.55000000000000004</v>
      </c>
    </row>
    <row r="11" spans="1:23" x14ac:dyDescent="0.3">
      <c r="A11" s="28">
        <v>13</v>
      </c>
      <c r="B11" s="30">
        <v>0.27500000000000002</v>
      </c>
      <c r="H11" s="2">
        <v>13</v>
      </c>
      <c r="I11" s="8">
        <v>0.15</v>
      </c>
      <c r="J11" s="8">
        <v>0.21</v>
      </c>
      <c r="K11" s="8">
        <v>0.26</v>
      </c>
      <c r="L11" s="8">
        <v>0.31</v>
      </c>
      <c r="N11" s="28">
        <v>10</v>
      </c>
      <c r="O11" s="9">
        <v>0.55000000000000004</v>
      </c>
      <c r="Q11" s="28">
        <v>10</v>
      </c>
      <c r="R11" s="9">
        <v>0.55000000000000004</v>
      </c>
    </row>
    <row r="12" spans="1:23" x14ac:dyDescent="0.3">
      <c r="A12" s="28">
        <v>14</v>
      </c>
      <c r="B12" s="30">
        <v>0.27500000000000002</v>
      </c>
      <c r="H12" s="2">
        <v>14</v>
      </c>
      <c r="I12" s="8">
        <v>0.16</v>
      </c>
      <c r="J12" s="8">
        <v>0.23</v>
      </c>
      <c r="K12" s="8">
        <v>0.28000000000000003</v>
      </c>
      <c r="L12" s="8">
        <v>0.33</v>
      </c>
      <c r="N12" s="28">
        <v>11</v>
      </c>
      <c r="O12" s="9">
        <v>0.55000000000000004</v>
      </c>
      <c r="Q12" s="28">
        <v>11</v>
      </c>
      <c r="R12" s="9">
        <v>0.55000000000000004</v>
      </c>
    </row>
    <row r="13" spans="1:23" x14ac:dyDescent="0.3">
      <c r="A13" s="28">
        <v>15</v>
      </c>
      <c r="B13" s="30">
        <v>0.27500000000000002</v>
      </c>
      <c r="H13" s="2">
        <v>15</v>
      </c>
      <c r="I13" s="8">
        <v>0.18</v>
      </c>
      <c r="J13" s="8">
        <v>0.25</v>
      </c>
      <c r="K13" s="8">
        <v>0.3</v>
      </c>
      <c r="L13" s="8">
        <v>0.35</v>
      </c>
      <c r="N13" s="28">
        <v>12</v>
      </c>
      <c r="O13" s="9">
        <v>0.55000000000000004</v>
      </c>
      <c r="Q13" s="28">
        <v>12</v>
      </c>
      <c r="R13" s="9">
        <v>0.55000000000000004</v>
      </c>
    </row>
    <row r="14" spans="1:23" x14ac:dyDescent="0.3">
      <c r="A14" s="28">
        <v>16</v>
      </c>
      <c r="B14" s="30">
        <v>0.27500000000000002</v>
      </c>
      <c r="H14" s="2">
        <v>16</v>
      </c>
      <c r="I14" s="8">
        <v>0.19</v>
      </c>
      <c r="J14" s="8">
        <v>0.28000000000000003</v>
      </c>
      <c r="K14" s="8">
        <v>0.33</v>
      </c>
      <c r="L14" s="8">
        <v>0.38</v>
      </c>
      <c r="N14" s="28">
        <v>13</v>
      </c>
      <c r="O14" s="9">
        <v>0.55000000000000004</v>
      </c>
      <c r="Q14" s="28">
        <v>13</v>
      </c>
      <c r="R14" s="9">
        <v>0.55000000000000004</v>
      </c>
    </row>
    <row r="15" spans="1:23" x14ac:dyDescent="0.3">
      <c r="A15" s="28">
        <v>17</v>
      </c>
      <c r="B15" s="30">
        <v>0.27500000000000002</v>
      </c>
      <c r="H15" s="2">
        <v>17</v>
      </c>
      <c r="I15" s="8">
        <v>0.2</v>
      </c>
      <c r="J15" s="8">
        <v>0.3</v>
      </c>
      <c r="K15" s="8">
        <v>0.35</v>
      </c>
      <c r="L15" s="8">
        <v>0.4</v>
      </c>
      <c r="N15" s="28">
        <v>14</v>
      </c>
      <c r="O15" s="9">
        <v>0.55000000000000004</v>
      </c>
      <c r="Q15" s="28">
        <v>14</v>
      </c>
      <c r="R15" s="9">
        <v>0.55000000000000004</v>
      </c>
    </row>
    <row r="16" spans="1:23" x14ac:dyDescent="0.3">
      <c r="A16" s="28">
        <v>18</v>
      </c>
      <c r="B16" s="30">
        <v>0.27500000000000002</v>
      </c>
      <c r="H16" s="2">
        <v>18</v>
      </c>
      <c r="I16" s="8">
        <v>0.22</v>
      </c>
      <c r="J16" s="8">
        <v>0.33</v>
      </c>
      <c r="K16" s="8">
        <v>0.38</v>
      </c>
      <c r="L16" s="8">
        <v>0.43</v>
      </c>
      <c r="N16" s="28">
        <v>15</v>
      </c>
      <c r="O16" s="9">
        <v>0.55000000000000004</v>
      </c>
      <c r="Q16" s="28">
        <v>15</v>
      </c>
      <c r="R16" s="9">
        <v>0.55000000000000004</v>
      </c>
    </row>
    <row r="17" spans="1:18" x14ac:dyDescent="0.3">
      <c r="A17" s="28">
        <v>19</v>
      </c>
      <c r="B17" s="30">
        <v>0.27500000000000002</v>
      </c>
      <c r="H17" s="2">
        <v>19</v>
      </c>
      <c r="I17" s="8">
        <v>0.24</v>
      </c>
      <c r="J17" s="8">
        <v>0.35</v>
      </c>
      <c r="K17" s="8">
        <v>0.4</v>
      </c>
      <c r="L17" s="8">
        <v>0.45</v>
      </c>
      <c r="N17" s="28">
        <v>16</v>
      </c>
      <c r="O17" s="9">
        <v>0.55000000000000004</v>
      </c>
      <c r="Q17" s="28">
        <v>16</v>
      </c>
      <c r="R17" s="9">
        <v>0.55000000000000004</v>
      </c>
    </row>
    <row r="18" spans="1:18" x14ac:dyDescent="0.3">
      <c r="A18" s="28">
        <v>20</v>
      </c>
      <c r="B18" s="30">
        <v>0.27500000000000002</v>
      </c>
      <c r="H18" s="2">
        <v>20</v>
      </c>
      <c r="I18" s="8">
        <v>0.26</v>
      </c>
      <c r="J18" s="8">
        <v>0.38</v>
      </c>
      <c r="K18" s="8">
        <v>0.43</v>
      </c>
      <c r="L18" s="8">
        <v>0.48</v>
      </c>
      <c r="N18" s="28">
        <v>17</v>
      </c>
      <c r="O18" s="9">
        <v>0.55000000000000004</v>
      </c>
      <c r="Q18" s="28">
        <v>17</v>
      </c>
      <c r="R18" s="9">
        <v>0.55000000000000004</v>
      </c>
    </row>
    <row r="19" spans="1:18" x14ac:dyDescent="0.3">
      <c r="A19" s="28">
        <v>21</v>
      </c>
      <c r="B19" s="30">
        <v>0.27500000000000002</v>
      </c>
      <c r="H19" s="2">
        <v>21</v>
      </c>
      <c r="I19" s="8">
        <v>0.28000000000000003</v>
      </c>
      <c r="J19" s="8">
        <v>0.4</v>
      </c>
      <c r="K19" s="8">
        <v>0.45</v>
      </c>
      <c r="L19" s="8">
        <v>0.5</v>
      </c>
      <c r="N19" s="28">
        <v>18</v>
      </c>
      <c r="O19" s="9">
        <v>0.55000000000000004</v>
      </c>
      <c r="Q19" s="28">
        <v>18</v>
      </c>
      <c r="R19" s="9">
        <v>0.55000000000000004</v>
      </c>
    </row>
    <row r="20" spans="1:18" x14ac:dyDescent="0.3">
      <c r="A20" s="28">
        <v>22</v>
      </c>
      <c r="B20" s="30">
        <v>0.27500000000000002</v>
      </c>
      <c r="H20" s="2">
        <v>22</v>
      </c>
      <c r="I20" s="8">
        <v>0.3</v>
      </c>
      <c r="J20" s="8">
        <v>0.43</v>
      </c>
      <c r="K20" s="8">
        <v>0.48</v>
      </c>
      <c r="L20" s="8">
        <v>0.53</v>
      </c>
      <c r="N20" s="28">
        <v>19</v>
      </c>
      <c r="O20" s="9">
        <v>0.55000000000000004</v>
      </c>
      <c r="Q20" s="28">
        <v>19</v>
      </c>
      <c r="R20" s="9">
        <v>0.55000000000000004</v>
      </c>
    </row>
    <row r="21" spans="1:18" x14ac:dyDescent="0.3">
      <c r="A21" s="28">
        <v>23</v>
      </c>
      <c r="B21" s="30">
        <v>0.27500000000000002</v>
      </c>
      <c r="H21" s="2">
        <v>23</v>
      </c>
      <c r="I21" s="8">
        <v>0.32</v>
      </c>
      <c r="J21" s="8">
        <v>0.45</v>
      </c>
      <c r="K21" s="8">
        <v>0.5</v>
      </c>
      <c r="L21" s="8">
        <v>0.55000000000000004</v>
      </c>
      <c r="N21" s="28">
        <v>20</v>
      </c>
      <c r="O21" s="9">
        <v>0.55000000000000004</v>
      </c>
      <c r="Q21" s="28">
        <v>20</v>
      </c>
      <c r="R21" s="9">
        <v>0.55000000000000004</v>
      </c>
    </row>
    <row r="22" spans="1:18" x14ac:dyDescent="0.3">
      <c r="A22" s="28">
        <v>24</v>
      </c>
      <c r="B22" s="30">
        <v>0.27500000000000002</v>
      </c>
      <c r="H22" s="2">
        <v>24</v>
      </c>
      <c r="I22" s="8">
        <v>0.34</v>
      </c>
      <c r="J22" s="8">
        <v>0.48</v>
      </c>
      <c r="K22" s="8">
        <v>0.53</v>
      </c>
      <c r="L22" s="8">
        <v>0.57999999999999996</v>
      </c>
      <c r="N22" s="28">
        <v>21</v>
      </c>
      <c r="O22" s="9">
        <v>0.55000000000000004</v>
      </c>
      <c r="Q22" s="28">
        <v>21</v>
      </c>
      <c r="R22" s="9">
        <v>0.55000000000000004</v>
      </c>
    </row>
    <row r="23" spans="1:18" ht="15" thickBot="1" x14ac:dyDescent="0.35">
      <c r="A23" s="31">
        <v>25</v>
      </c>
      <c r="B23" s="32">
        <v>0.27500000000000002</v>
      </c>
      <c r="H23" s="2">
        <v>25</v>
      </c>
      <c r="I23" s="8">
        <v>0.36</v>
      </c>
      <c r="J23" s="8">
        <v>0.5</v>
      </c>
      <c r="K23" s="8">
        <v>0.55000000000000004</v>
      </c>
      <c r="L23" s="8">
        <v>0.6</v>
      </c>
      <c r="N23" s="28">
        <v>22</v>
      </c>
      <c r="O23" s="9">
        <v>0.55000000000000004</v>
      </c>
      <c r="Q23" s="28">
        <v>22</v>
      </c>
      <c r="R23" s="9">
        <v>0.55000000000000004</v>
      </c>
    </row>
    <row r="24" spans="1:18" x14ac:dyDescent="0.3">
      <c r="N24" s="28">
        <v>23</v>
      </c>
      <c r="O24" s="9">
        <v>0.55000000000000004</v>
      </c>
      <c r="Q24" s="28">
        <v>23</v>
      </c>
      <c r="R24" s="9">
        <v>0.55000000000000004</v>
      </c>
    </row>
    <row r="25" spans="1:18" x14ac:dyDescent="0.3">
      <c r="N25" s="28">
        <v>24</v>
      </c>
      <c r="O25" s="9">
        <v>0.55000000000000004</v>
      </c>
      <c r="Q25" s="28">
        <v>24</v>
      </c>
      <c r="R25" s="9">
        <v>0.55000000000000004</v>
      </c>
    </row>
    <row r="26" spans="1:18" ht="15" thickBot="1" x14ac:dyDescent="0.35">
      <c r="N26" s="31">
        <v>25</v>
      </c>
      <c r="O26" s="11">
        <v>0.55000000000000004</v>
      </c>
      <c r="Q26" s="31">
        <v>25</v>
      </c>
      <c r="R26" s="11">
        <v>0.55000000000000004</v>
      </c>
    </row>
  </sheetData>
  <sheetProtection algorithmName="SHA-512" hashValue="9whfDJSXY0uJGKglodQGHo/WZzGels/VuDwYJJYSXfYzz63CowDOo6rzpA50laK/6B8XaKpe6UltvkwmULVGzg==" saltValue="fmry9V6gryrVzzDSIiStsQ==" spinCount="100000" sheet="1" objects="1" scenarios="1"/>
  <mergeCells count="6">
    <mergeCell ref="N1:O1"/>
    <mergeCell ref="Q1:R1"/>
    <mergeCell ref="U1:V1"/>
    <mergeCell ref="A1:B1"/>
    <mergeCell ref="D1:F1"/>
    <mergeCell ref="H1:L1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177F4F-8678-41AE-87D9-22697FD5EE80}">
  <dimension ref="A1:D29"/>
  <sheetViews>
    <sheetView topLeftCell="A4" workbookViewId="0">
      <selection activeCell="F13" sqref="F13"/>
    </sheetView>
  </sheetViews>
  <sheetFormatPr defaultRowHeight="14.4" x14ac:dyDescent="0.3"/>
  <cols>
    <col min="1" max="1" width="13.6640625" customWidth="1"/>
    <col min="2" max="2" width="14" bestFit="1" customWidth="1"/>
    <col min="3" max="3" width="15.109375" bestFit="1" customWidth="1"/>
  </cols>
  <sheetData>
    <row r="1" spans="1:4" x14ac:dyDescent="0.3">
      <c r="A1" s="16" t="s">
        <v>10</v>
      </c>
      <c r="B1" s="16" t="s">
        <v>22</v>
      </c>
      <c r="C1" s="16" t="s">
        <v>14</v>
      </c>
      <c r="D1" s="16" t="s">
        <v>33</v>
      </c>
    </row>
    <row r="2" spans="1:4" x14ac:dyDescent="0.3">
      <c r="A2" s="6">
        <v>0</v>
      </c>
      <c r="B2">
        <v>1</v>
      </c>
      <c r="C2" t="s">
        <v>15</v>
      </c>
    </row>
    <row r="3" spans="1:4" x14ac:dyDescent="0.3">
      <c r="A3" s="15">
        <v>0.3</v>
      </c>
      <c r="B3">
        <v>2</v>
      </c>
      <c r="C3" t="s">
        <v>16</v>
      </c>
    </row>
    <row r="4" spans="1:4" x14ac:dyDescent="0.3">
      <c r="A4" s="15">
        <v>0.4</v>
      </c>
      <c r="B4">
        <v>3</v>
      </c>
      <c r="C4" t="s">
        <v>17</v>
      </c>
      <c r="D4" s="15">
        <v>0.74</v>
      </c>
    </row>
    <row r="5" spans="1:4" x14ac:dyDescent="0.3">
      <c r="A5" s="15">
        <v>0.5</v>
      </c>
      <c r="B5">
        <v>4</v>
      </c>
      <c r="C5" t="s">
        <v>18</v>
      </c>
      <c r="D5" s="6">
        <v>0.76</v>
      </c>
    </row>
    <row r="6" spans="1:4" x14ac:dyDescent="0.3">
      <c r="B6">
        <v>5</v>
      </c>
      <c r="D6" s="6">
        <v>0.77</v>
      </c>
    </row>
    <row r="7" spans="1:4" x14ac:dyDescent="0.3">
      <c r="B7">
        <v>6</v>
      </c>
      <c r="D7" s="6">
        <v>0.78</v>
      </c>
    </row>
    <row r="8" spans="1:4" x14ac:dyDescent="0.3">
      <c r="B8">
        <v>7</v>
      </c>
      <c r="D8" s="6">
        <v>0.79</v>
      </c>
    </row>
    <row r="9" spans="1:4" x14ac:dyDescent="0.3">
      <c r="B9">
        <v>8</v>
      </c>
      <c r="D9" s="6">
        <v>0.8</v>
      </c>
    </row>
    <row r="10" spans="1:4" x14ac:dyDescent="0.3">
      <c r="B10">
        <v>9</v>
      </c>
      <c r="D10" s="6">
        <v>0.81</v>
      </c>
    </row>
    <row r="11" spans="1:4" x14ac:dyDescent="0.3">
      <c r="B11">
        <v>10</v>
      </c>
      <c r="D11" s="6">
        <v>0.82</v>
      </c>
    </row>
    <row r="12" spans="1:4" x14ac:dyDescent="0.3">
      <c r="B12">
        <v>11</v>
      </c>
      <c r="D12" s="6">
        <v>0.83</v>
      </c>
    </row>
    <row r="13" spans="1:4" x14ac:dyDescent="0.3">
      <c r="B13">
        <v>12</v>
      </c>
      <c r="D13" s="6">
        <v>0.84</v>
      </c>
    </row>
    <row r="14" spans="1:4" x14ac:dyDescent="0.3">
      <c r="B14">
        <v>13</v>
      </c>
      <c r="D14" s="6">
        <v>0.85</v>
      </c>
    </row>
    <row r="15" spans="1:4" x14ac:dyDescent="0.3">
      <c r="B15">
        <v>14</v>
      </c>
      <c r="D15" s="6">
        <v>0.86</v>
      </c>
    </row>
    <row r="16" spans="1:4" x14ac:dyDescent="0.3">
      <c r="B16">
        <v>15</v>
      </c>
      <c r="D16" s="6">
        <v>0.87</v>
      </c>
    </row>
    <row r="17" spans="2:4" x14ac:dyDescent="0.3">
      <c r="B17">
        <v>16</v>
      </c>
      <c r="D17" s="6">
        <v>0.88</v>
      </c>
    </row>
    <row r="18" spans="2:4" x14ac:dyDescent="0.3">
      <c r="B18">
        <v>17</v>
      </c>
      <c r="D18" s="6">
        <v>0.89</v>
      </c>
    </row>
    <row r="19" spans="2:4" x14ac:dyDescent="0.3">
      <c r="B19">
        <v>18</v>
      </c>
      <c r="D19" s="6">
        <v>0.9</v>
      </c>
    </row>
    <row r="20" spans="2:4" x14ac:dyDescent="0.3">
      <c r="B20">
        <v>19</v>
      </c>
      <c r="D20" s="6">
        <v>0.91</v>
      </c>
    </row>
    <row r="21" spans="2:4" x14ac:dyDescent="0.3">
      <c r="B21">
        <v>20</v>
      </c>
      <c r="D21" s="6">
        <v>0.92</v>
      </c>
    </row>
    <row r="22" spans="2:4" x14ac:dyDescent="0.3">
      <c r="B22">
        <v>21</v>
      </c>
      <c r="D22" s="6">
        <v>0.93</v>
      </c>
    </row>
    <row r="23" spans="2:4" x14ac:dyDescent="0.3">
      <c r="B23">
        <v>22</v>
      </c>
      <c r="D23" s="6">
        <v>0.94</v>
      </c>
    </row>
    <row r="24" spans="2:4" x14ac:dyDescent="0.3">
      <c r="B24">
        <v>23</v>
      </c>
      <c r="D24" s="6">
        <v>0.95</v>
      </c>
    </row>
    <row r="25" spans="2:4" x14ac:dyDescent="0.3">
      <c r="B25">
        <v>24</v>
      </c>
      <c r="D25" s="6">
        <v>0.96</v>
      </c>
    </row>
    <row r="26" spans="2:4" x14ac:dyDescent="0.3">
      <c r="B26">
        <v>25</v>
      </c>
      <c r="D26" s="6">
        <v>0.97</v>
      </c>
    </row>
    <row r="27" spans="2:4" x14ac:dyDescent="0.3">
      <c r="D27" s="6">
        <v>0.98</v>
      </c>
    </row>
    <row r="28" spans="2:4" x14ac:dyDescent="0.3">
      <c r="D28" s="6">
        <v>0.99</v>
      </c>
    </row>
    <row r="29" spans="2:4" x14ac:dyDescent="0.3">
      <c r="D29" s="6">
        <v>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B40304-BEE3-41BB-AA58-A9C561AD26EB}">
  <dimension ref="A1:P25"/>
  <sheetViews>
    <sheetView zoomScale="90" zoomScaleNormal="90" workbookViewId="0">
      <pane xSplit="1" ySplit="9" topLeftCell="B10" activePane="bottomRight" state="frozen"/>
      <selection pane="topRight" activeCell="B1" sqref="B1"/>
      <selection pane="bottomLeft" activeCell="A6" sqref="A6"/>
      <selection pane="bottomRight" activeCell="F32" sqref="F32"/>
    </sheetView>
  </sheetViews>
  <sheetFormatPr defaultRowHeight="14.4" x14ac:dyDescent="0.3"/>
  <cols>
    <col min="1" max="1" width="48.6640625" bestFit="1" customWidth="1"/>
    <col min="2" max="2" width="14.44140625" bestFit="1" customWidth="1"/>
    <col min="3" max="3" width="13.5546875" customWidth="1"/>
    <col min="4" max="4" width="8.88671875" customWidth="1"/>
    <col min="5" max="5" width="11.5546875" customWidth="1"/>
    <col min="6" max="6" width="12" bestFit="1" customWidth="1"/>
    <col min="7" max="7" width="10.109375" bestFit="1" customWidth="1"/>
    <col min="8" max="8" width="14.44140625" bestFit="1" customWidth="1"/>
    <col min="9" max="9" width="12.88671875" customWidth="1"/>
    <col min="10" max="10" width="15.44140625" customWidth="1"/>
    <col min="11" max="11" width="14.88671875" customWidth="1"/>
    <col min="12" max="12" width="13.6640625" customWidth="1"/>
    <col min="13" max="13" width="14.44140625" customWidth="1"/>
    <col min="14" max="14" width="15.44140625" customWidth="1"/>
    <col min="15" max="15" width="15.5546875" hidden="1" customWidth="1"/>
    <col min="16" max="16" width="12.88671875" bestFit="1" customWidth="1"/>
    <col min="17" max="17" width="12.33203125" bestFit="1" customWidth="1"/>
    <col min="18" max="18" width="18" customWidth="1"/>
  </cols>
  <sheetData>
    <row r="1" spans="1:16" x14ac:dyDescent="0.3">
      <c r="A1" s="74" t="s">
        <v>31</v>
      </c>
      <c r="B1" s="75">
        <v>0.9</v>
      </c>
    </row>
    <row r="2" spans="1:16" x14ac:dyDescent="0.3">
      <c r="A2" s="74" t="s">
        <v>32</v>
      </c>
      <c r="B2" s="75">
        <v>0.8</v>
      </c>
    </row>
    <row r="3" spans="1:16" hidden="1" x14ac:dyDescent="0.3">
      <c r="A3" s="74" t="s">
        <v>49</v>
      </c>
      <c r="B3" s="76">
        <v>1</v>
      </c>
    </row>
    <row r="4" spans="1:16" x14ac:dyDescent="0.3">
      <c r="A4" s="74" t="s">
        <v>50</v>
      </c>
      <c r="B4" s="76">
        <v>0</v>
      </c>
    </row>
    <row r="5" spans="1:16" hidden="1" x14ac:dyDescent="0.3">
      <c r="A5" s="74" t="s">
        <v>41</v>
      </c>
      <c r="B5" s="76">
        <v>0</v>
      </c>
    </row>
    <row r="6" spans="1:16" s="1" customFormat="1" hidden="1" x14ac:dyDescent="0.3">
      <c r="A6" s="74" t="s">
        <v>47</v>
      </c>
      <c r="B6" s="77">
        <v>300000</v>
      </c>
    </row>
    <row r="7" spans="1:16" s="1" customFormat="1" hidden="1" x14ac:dyDescent="0.3">
      <c r="A7" s="74" t="s">
        <v>48</v>
      </c>
      <c r="B7" s="78">
        <v>100000</v>
      </c>
    </row>
    <row r="8" spans="1:16" s="1" customFormat="1" ht="15" thickBot="1" x14ac:dyDescent="0.35"/>
    <row r="9" spans="1:16" ht="43.8" thickBot="1" x14ac:dyDescent="0.35">
      <c r="A9" s="70" t="s">
        <v>40</v>
      </c>
      <c r="B9" s="40" t="s">
        <v>29</v>
      </c>
      <c r="C9" s="40" t="s">
        <v>30</v>
      </c>
      <c r="D9" s="40" t="s">
        <v>28</v>
      </c>
      <c r="E9" s="40" t="s">
        <v>14</v>
      </c>
      <c r="F9" s="40" t="s">
        <v>20</v>
      </c>
      <c r="G9" s="41" t="s">
        <v>35</v>
      </c>
      <c r="H9" s="40" t="s">
        <v>39</v>
      </c>
      <c r="I9" s="40" t="s">
        <v>38</v>
      </c>
      <c r="J9" s="40" t="s">
        <v>5</v>
      </c>
      <c r="K9" s="40" t="s">
        <v>6</v>
      </c>
      <c r="L9" s="63" t="s">
        <v>45</v>
      </c>
      <c r="M9" s="63" t="s">
        <v>42</v>
      </c>
      <c r="N9" s="40" t="s">
        <v>36</v>
      </c>
      <c r="O9" s="41" t="s">
        <v>37</v>
      </c>
      <c r="P9" s="42" t="s">
        <v>34</v>
      </c>
    </row>
    <row r="10" spans="1:16" x14ac:dyDescent="0.3">
      <c r="A10" s="43" t="s">
        <v>24</v>
      </c>
      <c r="B10" s="50">
        <v>4</v>
      </c>
      <c r="C10" s="51">
        <v>60000</v>
      </c>
      <c r="D10" s="52">
        <v>5</v>
      </c>
      <c r="E10" s="52" t="s">
        <v>15</v>
      </c>
      <c r="F10" s="44">
        <f>VLOOKUP(D10,Jutaléktáblák!$N$2:$O$26,2,FALSE)</f>
        <v>0.25</v>
      </c>
      <c r="G10" s="97">
        <f>IF(B23&gt;599999,50%,IF(B23&gt;299999,40%,IF(B23&gt;149999,30%,0)))*(IF(B1&gt;84.99%,1,0)*IF(B2&gt;74.99%,1,0))</f>
        <v>0.3</v>
      </c>
      <c r="H10" s="45">
        <f>+B10*C10</f>
        <v>240000</v>
      </c>
      <c r="I10" s="45">
        <f>+H10*(IF(E10="havi",0.083,IF(E10="negyedéves",0.25,IF(E10="féléves",0.5,1))))</f>
        <v>19920</v>
      </c>
      <c r="J10" s="46">
        <f>H10</f>
        <v>240000</v>
      </c>
      <c r="K10" s="46">
        <f>+F10*I10</f>
        <v>4980</v>
      </c>
      <c r="L10" s="64">
        <v>0.15</v>
      </c>
      <c r="M10" s="67">
        <f>+L10*K10</f>
        <v>747</v>
      </c>
      <c r="N10" s="46">
        <f t="shared" ref="N10:N17" si="0">+J10*$G$10</f>
        <v>72000</v>
      </c>
      <c r="O10" s="100">
        <f>IF(J10+J11+J12+J13&gt;B6-1,B7,0)*IF(B2&gt;74.99%,1,0)*B5</f>
        <v>0</v>
      </c>
      <c r="P10" s="47">
        <f t="shared" ref="P10:P17" si="1">+K10+N10</f>
        <v>76980</v>
      </c>
    </row>
    <row r="11" spans="1:16" x14ac:dyDescent="0.3">
      <c r="A11" s="20" t="s">
        <v>25</v>
      </c>
      <c r="B11" s="53">
        <v>0</v>
      </c>
      <c r="C11" s="54">
        <v>0</v>
      </c>
      <c r="D11" s="55">
        <v>1</v>
      </c>
      <c r="E11" s="55" t="s">
        <v>15</v>
      </c>
      <c r="F11" s="35">
        <f>VLOOKUP(D11,Jutaléktáblák!$Q$2:$R$26,2,FALSE)</f>
        <v>0.28999999999999998</v>
      </c>
      <c r="G11" s="98"/>
      <c r="H11" s="38">
        <f t="shared" ref="H11:H17" si="2">+B11*C11</f>
        <v>0</v>
      </c>
      <c r="I11" s="38">
        <f>+H11*(IF(E11="havi",0.083,IF(E11="negyedéves",0.25,IF(E11="féléves",0.5,1))))</f>
        <v>0</v>
      </c>
      <c r="J11" s="3">
        <f>H11</f>
        <v>0</v>
      </c>
      <c r="K11" s="3">
        <f t="shared" ref="K11:K17" si="3">+F11*I11</f>
        <v>0</v>
      </c>
      <c r="L11" s="65">
        <v>0.15</v>
      </c>
      <c r="M11" s="68">
        <f t="shared" ref="M11:M17" si="4">+L11*K11</f>
        <v>0</v>
      </c>
      <c r="N11" s="3">
        <f t="shared" si="0"/>
        <v>0</v>
      </c>
      <c r="O11" s="101"/>
      <c r="P11" s="36">
        <f t="shared" si="1"/>
        <v>0</v>
      </c>
    </row>
    <row r="12" spans="1:16" x14ac:dyDescent="0.3">
      <c r="A12" s="20" t="s">
        <v>3</v>
      </c>
      <c r="B12" s="53">
        <v>0</v>
      </c>
      <c r="C12" s="54">
        <v>0</v>
      </c>
      <c r="D12" s="55">
        <v>6</v>
      </c>
      <c r="E12" s="55" t="s">
        <v>16</v>
      </c>
      <c r="F12" s="19">
        <v>0.8</v>
      </c>
      <c r="G12" s="98"/>
      <c r="H12" s="38">
        <f>+B12*C12</f>
        <v>0</v>
      </c>
      <c r="I12" s="38">
        <f>+H12</f>
        <v>0</v>
      </c>
      <c r="J12" s="3">
        <f>H12</f>
        <v>0</v>
      </c>
      <c r="K12" s="3">
        <f t="shared" si="3"/>
        <v>0</v>
      </c>
      <c r="L12" s="65">
        <v>0.15</v>
      </c>
      <c r="M12" s="68">
        <f t="shared" si="4"/>
        <v>0</v>
      </c>
      <c r="N12" s="3">
        <f t="shared" si="0"/>
        <v>0</v>
      </c>
      <c r="O12" s="101"/>
      <c r="P12" s="36">
        <f t="shared" si="1"/>
        <v>0</v>
      </c>
    </row>
    <row r="13" spans="1:16" x14ac:dyDescent="0.3">
      <c r="A13" s="20" t="s">
        <v>46</v>
      </c>
      <c r="B13" s="53"/>
      <c r="C13" s="54">
        <v>0</v>
      </c>
      <c r="D13" s="55">
        <v>10</v>
      </c>
      <c r="E13" s="55" t="s">
        <v>15</v>
      </c>
      <c r="F13" s="34">
        <f>VLOOKUP(D13,Jutaléktáblák!$A$3:$B$23,2,FALSE)+IF(E13="éves",5%,0)</f>
        <v>0.27500000000000002</v>
      </c>
      <c r="G13" s="98"/>
      <c r="H13" s="38">
        <f t="shared" si="2"/>
        <v>0</v>
      </c>
      <c r="I13" s="38">
        <f>IF(H13=0,0,(H13-116900)/0.65+116900)</f>
        <v>0</v>
      </c>
      <c r="J13" s="3">
        <f>H13</f>
        <v>0</v>
      </c>
      <c r="K13" s="3">
        <f t="shared" si="3"/>
        <v>0</v>
      </c>
      <c r="L13" s="65">
        <v>0.15</v>
      </c>
      <c r="M13" s="68">
        <f t="shared" si="4"/>
        <v>0</v>
      </c>
      <c r="N13" s="3">
        <f t="shared" si="0"/>
        <v>0</v>
      </c>
      <c r="O13" s="101"/>
      <c r="P13" s="36">
        <f t="shared" si="1"/>
        <v>0</v>
      </c>
    </row>
    <row r="14" spans="1:16" x14ac:dyDescent="0.3">
      <c r="A14" s="20" t="s">
        <v>0</v>
      </c>
      <c r="B14" s="53">
        <v>4</v>
      </c>
      <c r="C14" s="54">
        <v>120000</v>
      </c>
      <c r="D14" s="55" t="s">
        <v>19</v>
      </c>
      <c r="E14" s="55" t="s">
        <v>15</v>
      </c>
      <c r="F14" s="18">
        <f>IF(H14&gt;199999,35%,25%)+IF(E14="éves",7%,0)</f>
        <v>0.35</v>
      </c>
      <c r="G14" s="98"/>
      <c r="H14" s="38">
        <f t="shared" si="2"/>
        <v>480000</v>
      </c>
      <c r="I14" s="38">
        <f>+H14</f>
        <v>480000</v>
      </c>
      <c r="J14" s="3">
        <f>H14*0.75</f>
        <v>360000</v>
      </c>
      <c r="K14" s="3">
        <f t="shared" si="3"/>
        <v>168000</v>
      </c>
      <c r="L14" s="65">
        <v>0.15</v>
      </c>
      <c r="M14" s="68">
        <f t="shared" si="4"/>
        <v>25200</v>
      </c>
      <c r="N14" s="3">
        <f t="shared" si="0"/>
        <v>108000</v>
      </c>
      <c r="O14" s="101"/>
      <c r="P14" s="36">
        <f t="shared" si="1"/>
        <v>276000</v>
      </c>
    </row>
    <row r="15" spans="1:16" x14ac:dyDescent="0.3">
      <c r="A15" s="20" t="s">
        <v>2</v>
      </c>
      <c r="B15" s="53">
        <v>4</v>
      </c>
      <c r="C15" s="54">
        <v>120000</v>
      </c>
      <c r="D15" s="55">
        <v>15</v>
      </c>
      <c r="E15" s="55" t="s">
        <v>15</v>
      </c>
      <c r="F15" s="18">
        <f ca="1">INDIRECT(ADDRESS(MATCH(D15,Jutaléktáblák!$H$3:$H$23)+2,MATCH(H15,Jutaléktáblák!$I$2:$L$2)+8,,,"Jutaléktáblák"))+IF(E15="éves",5%,0%)</f>
        <v>0.3</v>
      </c>
      <c r="G15" s="98"/>
      <c r="H15" s="38">
        <f t="shared" si="2"/>
        <v>480000</v>
      </c>
      <c r="I15" s="38">
        <f>+H15</f>
        <v>480000</v>
      </c>
      <c r="J15" s="3">
        <f>H15*0.75</f>
        <v>360000</v>
      </c>
      <c r="K15" s="3">
        <f t="shared" ca="1" si="3"/>
        <v>144000</v>
      </c>
      <c r="L15" s="65">
        <v>0.15</v>
      </c>
      <c r="M15" s="68">
        <f t="shared" ca="1" si="4"/>
        <v>21600</v>
      </c>
      <c r="N15" s="3">
        <f t="shared" si="0"/>
        <v>108000</v>
      </c>
      <c r="O15" s="101"/>
      <c r="P15" s="36">
        <f t="shared" ca="1" si="1"/>
        <v>252000</v>
      </c>
    </row>
    <row r="16" spans="1:16" x14ac:dyDescent="0.3">
      <c r="A16" s="20" t="s">
        <v>1</v>
      </c>
      <c r="B16" s="53">
        <v>0</v>
      </c>
      <c r="C16" s="54">
        <v>0</v>
      </c>
      <c r="D16" s="55" t="s">
        <v>19</v>
      </c>
      <c r="E16" s="55" t="s">
        <v>15</v>
      </c>
      <c r="F16" s="24">
        <f ca="1">INDIRECT(ADDRESS(MATCH(C16,Jutaléktáblák!$D$2:$D$5)+1,6,,,"Jutaléktáblák"))</f>
        <v>7.4999999999999997E-3</v>
      </c>
      <c r="G16" s="98"/>
      <c r="H16" s="38">
        <f>+B16*C16*0.1</f>
        <v>0</v>
      </c>
      <c r="I16" s="38">
        <f>+B16*C16</f>
        <v>0</v>
      </c>
      <c r="J16" s="3">
        <f>H16*0.75</f>
        <v>0</v>
      </c>
      <c r="K16" s="3">
        <f t="shared" ca="1" si="3"/>
        <v>0</v>
      </c>
      <c r="L16" s="65">
        <v>0.1</v>
      </c>
      <c r="M16" s="68">
        <f t="shared" ca="1" si="4"/>
        <v>0</v>
      </c>
      <c r="N16" s="3">
        <f t="shared" si="0"/>
        <v>0</v>
      </c>
      <c r="O16" s="101"/>
      <c r="P16" s="36">
        <f t="shared" ca="1" si="1"/>
        <v>0</v>
      </c>
    </row>
    <row r="17" spans="1:16" ht="15" thickBot="1" x14ac:dyDescent="0.35">
      <c r="A17" s="21" t="s">
        <v>4</v>
      </c>
      <c r="B17" s="56"/>
      <c r="C17" s="57">
        <v>0</v>
      </c>
      <c r="D17" s="58" t="s">
        <v>19</v>
      </c>
      <c r="E17" s="58" t="s">
        <v>15</v>
      </c>
      <c r="F17" s="22">
        <v>0.2</v>
      </c>
      <c r="G17" s="99"/>
      <c r="H17" s="48">
        <f t="shared" si="2"/>
        <v>0</v>
      </c>
      <c r="I17" s="48">
        <f>+H17*(IF(E17="havi",0.083,IF(E17="negyedéves",0.25,IF(E17="féléves",0.5,1))))</f>
        <v>0</v>
      </c>
      <c r="J17" s="23">
        <f>IF((H10+H11+H12+H13)&gt;149999,H17,0)</f>
        <v>0</v>
      </c>
      <c r="K17" s="23">
        <f t="shared" si="3"/>
        <v>0</v>
      </c>
      <c r="L17" s="66">
        <v>2.5000000000000001E-2</v>
      </c>
      <c r="M17" s="69">
        <f t="shared" si="4"/>
        <v>0</v>
      </c>
      <c r="N17" s="23">
        <f t="shared" si="0"/>
        <v>0</v>
      </c>
      <c r="O17" s="102"/>
      <c r="P17" s="49">
        <f t="shared" si="1"/>
        <v>0</v>
      </c>
    </row>
    <row r="18" spans="1:16" ht="15" thickBot="1" x14ac:dyDescent="0.35">
      <c r="H18" s="59">
        <f>SUM(H10:H17)</f>
        <v>1200000</v>
      </c>
      <c r="I18" s="60">
        <f>SUM(I10:I17)</f>
        <v>979920</v>
      </c>
      <c r="J18" s="61">
        <f>SUM(J10:J17)</f>
        <v>960000</v>
      </c>
      <c r="K18" s="61">
        <f ca="1">SUM(K10:K17)</f>
        <v>316980</v>
      </c>
      <c r="L18" s="61"/>
      <c r="M18" s="61">
        <f ca="1">SUM(M10:M17)</f>
        <v>47547</v>
      </c>
      <c r="N18" s="61">
        <f>SUM(N10:N17)</f>
        <v>288000</v>
      </c>
      <c r="O18" s="37">
        <f>SUM(O10)</f>
        <v>0</v>
      </c>
      <c r="P18" s="62">
        <f ca="1">+K18+N18+O18</f>
        <v>604980</v>
      </c>
    </row>
    <row r="19" spans="1:16" x14ac:dyDescent="0.3">
      <c r="P19" s="6"/>
    </row>
    <row r="20" spans="1:16" hidden="1" x14ac:dyDescent="0.3"/>
    <row r="21" spans="1:16" hidden="1" x14ac:dyDescent="0.3">
      <c r="A21" s="25" t="s">
        <v>43</v>
      </c>
      <c r="B21" s="71">
        <f>+H10+H11+H12+H13+H14+H15+H17</f>
        <v>1200000</v>
      </c>
      <c r="J21" s="4"/>
      <c r="K21" s="73"/>
    </row>
    <row r="22" spans="1:16" hidden="1" x14ac:dyDescent="0.3">
      <c r="A22" s="25" t="s">
        <v>44</v>
      </c>
      <c r="B22" s="71">
        <f>+H16</f>
        <v>0</v>
      </c>
      <c r="J22" s="4"/>
    </row>
    <row r="23" spans="1:16" hidden="1" x14ac:dyDescent="0.3">
      <c r="A23" s="25" t="s">
        <v>5</v>
      </c>
      <c r="B23" s="72">
        <f>+J10+J11+J12+J13+J17</f>
        <v>240000</v>
      </c>
      <c r="J23" s="4"/>
    </row>
    <row r="24" spans="1:16" hidden="1" x14ac:dyDescent="0.3"/>
    <row r="25" spans="1:16" hidden="1" x14ac:dyDescent="0.3"/>
  </sheetData>
  <sheetProtection algorithmName="SHA-512" hashValue="7gHicuW2eJV5vogIHDFwBZMQVs3LhVlo3yitkRTLxjfN5/wCvFXy57XcU+WeZp3BJQ5pI2GwhWVgsIwnep147w==" saltValue="DjHO2FawgBhx4HDoXthftQ==" spinCount="100000" sheet="1" objects="1" scenarios="1"/>
  <protectedRanges>
    <protectedRange sqref="F10:F17 H10:I17" name="Range1"/>
  </protectedRanges>
  <mergeCells count="2">
    <mergeCell ref="G10:G17"/>
    <mergeCell ref="O10:O17"/>
  </mergeCells>
  <dataValidations count="8">
    <dataValidation type="whole" allowBlank="1" showInputMessage="1" showErrorMessage="1" sqref="C10:C16" xr:uid="{90D83893-FEA1-41D7-B722-F8C465209AF5}">
      <formula1>0</formula1>
      <formula2>1000000000</formula2>
    </dataValidation>
    <dataValidation type="whole" allowBlank="1" showInputMessage="1" showErrorMessage="1" sqref="B10:B17" xr:uid="{C0DECD3C-B4A1-4F18-9B0B-76A58A9C5D3B}">
      <formula1>0</formula1>
      <formula2>20</formula2>
    </dataValidation>
    <dataValidation type="decimal" allowBlank="1" showInputMessage="1" showErrorMessage="1" sqref="B1:B2" xr:uid="{0A66AAD3-8739-4D83-97E7-F51FE2737922}">
      <formula1>0</formula1>
      <formula2>100</formula2>
    </dataValidation>
    <dataValidation type="whole" allowBlank="1" showInputMessage="1" showErrorMessage="1" error="A minimális díj nem lehet kisebb, mint 100.000 Ft!_x000a_" sqref="C17" xr:uid="{69AB5111-1DA0-4973-AE7C-99C5979FF545}">
      <formula1>0</formula1>
      <formula2>1000000000</formula2>
    </dataValidation>
    <dataValidation type="whole" allowBlank="1" showInputMessage="1" showErrorMessage="1" error="Érték csak 0 vagy 1 lehet!" sqref="B3:B5" xr:uid="{FAD24EDD-6F1F-4FFC-8BFB-5F6FA3EB3130}">
      <formula1>0</formula1>
      <formula2>1</formula2>
    </dataValidation>
    <dataValidation type="decimal" allowBlank="1" showInputMessage="1" showErrorMessage="1" error="0 és 1.000.000 Ft közötti érték vihető be!" sqref="B7" xr:uid="{6F98DA9B-CF0F-434D-A124-7B43E0E775A7}">
      <formula1>0</formula1>
      <formula2>1000000</formula2>
    </dataValidation>
    <dataValidation type="whole" allowBlank="1" showInputMessage="1" showErrorMessage="1" sqref="O6:O8" xr:uid="{61EDED82-956A-4295-ADAD-3BC292C7CB1A}">
      <formula1>0</formula1>
      <formula2>1</formula2>
    </dataValidation>
    <dataValidation type="whole" allowBlank="1" showInputMessage="1" showErrorMessage="1" error="Érték csak 0 vagy 1 lehet!" sqref="B6" xr:uid="{90CBE28C-CBAF-4179-949F-D8D3192B7BB1}">
      <formula1>0</formula1>
      <formula2>1000000</formula2>
    </dataValidation>
  </dataValidations>
  <pageMargins left="0.7" right="0.7" top="0.75" bottom="0.75" header="0.3" footer="0.3"/>
  <ignoredErrors>
    <ignoredError sqref="I13 H16" formula="1"/>
  </ignoredError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64BAEA61-C290-422A-943F-1EF01F897FE4}">
          <x14:formula1>
            <xm:f>Data!$B$6:$B$26</xm:f>
          </x14:formula1>
          <xm:sqref>D13 D15</xm:sqref>
        </x14:dataValidation>
        <x14:dataValidation type="list" allowBlank="1" showInputMessage="1" showErrorMessage="1" xr:uid="{439AA249-C4D4-44F6-895E-693F36A819A4}">
          <x14:formula1>
            <xm:f>Data!$B$7:$B$26</xm:f>
          </x14:formula1>
          <xm:sqref>D12</xm:sqref>
        </x14:dataValidation>
        <x14:dataValidation type="list" allowBlank="1" showInputMessage="1" showErrorMessage="1" xr:uid="{19825D1C-D3C7-47AE-A2D0-1C642A11AD95}">
          <x14:formula1>
            <xm:f>Data!$B$2:$B$26</xm:f>
          </x14:formula1>
          <xm:sqref>D10:D12</xm:sqref>
        </x14:dataValidation>
        <x14:dataValidation type="list" allowBlank="1" showInputMessage="1" showErrorMessage="1" xr:uid="{FF6A6A53-372C-45BB-84C5-501241EF1A46}">
          <x14:formula1>
            <xm:f>Data!$C$2:$C$5</xm:f>
          </x14:formula1>
          <xm:sqref>E10:E17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CBB4A1-74CA-4BB6-95C7-CB28D19DF5CB}">
  <dimension ref="A1:P38"/>
  <sheetViews>
    <sheetView tabSelected="1" zoomScaleNormal="100" workbookViewId="0">
      <selection activeCell="F24" sqref="F24"/>
    </sheetView>
  </sheetViews>
  <sheetFormatPr defaultRowHeight="14.4" x14ac:dyDescent="0.3"/>
  <cols>
    <col min="1" max="1" width="48.6640625" customWidth="1"/>
    <col min="2" max="2" width="14.44140625" bestFit="1" customWidth="1"/>
    <col min="3" max="3" width="13.5546875" customWidth="1"/>
    <col min="5" max="5" width="11.5546875" customWidth="1"/>
    <col min="6" max="6" width="12" bestFit="1" customWidth="1"/>
    <col min="7" max="7" width="10.109375" bestFit="1" customWidth="1"/>
    <col min="8" max="8" width="14.44140625" bestFit="1" customWidth="1"/>
    <col min="9" max="9" width="12.88671875" customWidth="1"/>
    <col min="10" max="10" width="15.44140625" customWidth="1"/>
    <col min="11" max="11" width="14.88671875" customWidth="1"/>
    <col min="12" max="12" width="13.6640625" customWidth="1"/>
    <col min="13" max="13" width="14.44140625" customWidth="1"/>
    <col min="14" max="14" width="15.44140625" customWidth="1"/>
    <col min="15" max="15" width="15.5546875" hidden="1" customWidth="1"/>
    <col min="16" max="16" width="12.88671875" bestFit="1" customWidth="1"/>
    <col min="17" max="17" width="12.33203125" bestFit="1" customWidth="1"/>
    <col min="18" max="18" width="18" customWidth="1"/>
  </cols>
  <sheetData>
    <row r="1" spans="1:16" x14ac:dyDescent="0.3">
      <c r="A1" s="81" t="s">
        <v>58</v>
      </c>
      <c r="B1" s="87">
        <v>0.9</v>
      </c>
      <c r="C1" t="s">
        <v>66</v>
      </c>
    </row>
    <row r="2" spans="1:16" x14ac:dyDescent="0.3">
      <c r="A2" s="82" t="s">
        <v>59</v>
      </c>
      <c r="B2" s="87">
        <v>0.8</v>
      </c>
      <c r="C2" t="s">
        <v>67</v>
      </c>
    </row>
    <row r="3" spans="1:16" hidden="1" x14ac:dyDescent="0.3">
      <c r="A3" s="74" t="s">
        <v>49</v>
      </c>
      <c r="B3" s="76">
        <v>1</v>
      </c>
    </row>
    <row r="4" spans="1:16" hidden="1" x14ac:dyDescent="0.3">
      <c r="A4" s="74" t="s">
        <v>50</v>
      </c>
      <c r="B4" s="76">
        <v>0</v>
      </c>
    </row>
    <row r="5" spans="1:16" hidden="1" x14ac:dyDescent="0.3">
      <c r="A5" s="74" t="s">
        <v>41</v>
      </c>
      <c r="B5" s="76">
        <v>0</v>
      </c>
    </row>
    <row r="6" spans="1:16" s="1" customFormat="1" hidden="1" x14ac:dyDescent="0.3">
      <c r="A6" s="74" t="s">
        <v>47</v>
      </c>
      <c r="B6" s="77">
        <v>300000</v>
      </c>
    </row>
    <row r="7" spans="1:16" s="1" customFormat="1" hidden="1" x14ac:dyDescent="0.3">
      <c r="A7" s="74" t="s">
        <v>48</v>
      </c>
      <c r="B7" s="78">
        <v>100000</v>
      </c>
    </row>
    <row r="8" spans="1:16" s="1" customFormat="1" ht="15" thickBot="1" x14ac:dyDescent="0.35">
      <c r="H8" s="85"/>
    </row>
    <row r="9" spans="1:16" ht="43.8" thickBot="1" x14ac:dyDescent="0.35">
      <c r="A9" s="70" t="s">
        <v>40</v>
      </c>
      <c r="B9" s="40" t="s">
        <v>29</v>
      </c>
      <c r="C9" s="40" t="s">
        <v>56</v>
      </c>
      <c r="D9" s="40" t="s">
        <v>28</v>
      </c>
      <c r="E9" s="40" t="s">
        <v>14</v>
      </c>
      <c r="F9" s="40" t="s">
        <v>20</v>
      </c>
      <c r="G9" s="41" t="s">
        <v>35</v>
      </c>
      <c r="H9" s="40" t="s">
        <v>39</v>
      </c>
      <c r="I9" s="40" t="s">
        <v>38</v>
      </c>
      <c r="J9" s="40" t="s">
        <v>5</v>
      </c>
      <c r="K9" s="40" t="s">
        <v>6</v>
      </c>
      <c r="L9" s="63" t="s">
        <v>45</v>
      </c>
      <c r="M9" s="63" t="s">
        <v>42</v>
      </c>
      <c r="N9" s="40" t="s">
        <v>36</v>
      </c>
      <c r="O9" s="41" t="s">
        <v>37</v>
      </c>
      <c r="P9" s="42" t="s">
        <v>34</v>
      </c>
    </row>
    <row r="10" spans="1:16" x14ac:dyDescent="0.3">
      <c r="A10" s="86" t="s">
        <v>57</v>
      </c>
      <c r="B10" s="50">
        <v>1</v>
      </c>
      <c r="C10" s="51">
        <f>12*2026</f>
        <v>24312</v>
      </c>
      <c r="D10" s="52">
        <v>1</v>
      </c>
      <c r="E10" s="52" t="s">
        <v>15</v>
      </c>
      <c r="F10" s="44">
        <f>VLOOKUP(D10,Jutaléktáblák!$N$2:$O$26,2,FALSE)</f>
        <v>0.05</v>
      </c>
      <c r="G10" s="103">
        <f>IF(B26&gt;599999,50%,IF(B26&gt;299999,40%,IF(B26&gt;149999,30%,0)))*(IF(B1&gt;84.99%,1,0)*IF(B2&gt;74.99%,1,0))</f>
        <v>0.5</v>
      </c>
      <c r="H10" s="83">
        <f>+B10*C10</f>
        <v>24312</v>
      </c>
      <c r="I10" s="45">
        <f>+H10*(IF(E10="havi",0.083,IF(E10="negyedéves",0.25,IF(E10="féléves",0.5,1))))</f>
        <v>2017.8960000000002</v>
      </c>
      <c r="J10" s="46">
        <f>H10</f>
        <v>24312</v>
      </c>
      <c r="K10" s="46">
        <f>+F10*I10</f>
        <v>100.89480000000002</v>
      </c>
      <c r="L10" s="64">
        <v>0.15</v>
      </c>
      <c r="M10" s="67">
        <f>+L10*K10</f>
        <v>15.134220000000003</v>
      </c>
      <c r="N10" s="46">
        <f t="shared" ref="N10:N17" si="0">+J10*$G$10</f>
        <v>12156</v>
      </c>
      <c r="O10" s="100">
        <f>IF(J10+J11+J12+J13&gt;B6-1,B7,0)*IF(B2&gt;74.99%,1,0)*B5</f>
        <v>0</v>
      </c>
      <c r="P10" s="47">
        <f t="shared" ref="P10:P17" si="1">+K10+N10</f>
        <v>12256.8948</v>
      </c>
    </row>
    <row r="11" spans="1:16" x14ac:dyDescent="0.3">
      <c r="A11" s="79" t="s">
        <v>51</v>
      </c>
      <c r="B11" s="53">
        <v>1</v>
      </c>
      <c r="C11" s="54">
        <f>4693*12</f>
        <v>56316</v>
      </c>
      <c r="D11" s="55">
        <v>1</v>
      </c>
      <c r="E11" s="55" t="s">
        <v>15</v>
      </c>
      <c r="F11" s="35">
        <f>VLOOKUP(D11,Jutaléktáblák!$Q$2:$R$26,2,FALSE)</f>
        <v>0.28999999999999998</v>
      </c>
      <c r="G11" s="104"/>
      <c r="H11" s="84">
        <f t="shared" ref="H11:H17" si="2">+B11*C11</f>
        <v>56316</v>
      </c>
      <c r="I11" s="38">
        <f>+H11*(IF(E11="havi",0.083,IF(E11="negyedéves",0.25,IF(E11="féléves",0.5,1))))</f>
        <v>4674.2280000000001</v>
      </c>
      <c r="J11" s="3">
        <f>H11</f>
        <v>56316</v>
      </c>
      <c r="K11" s="3">
        <f t="shared" ref="K11:K17" si="3">+F11*I11</f>
        <v>1355.52612</v>
      </c>
      <c r="L11" s="65">
        <v>0.15</v>
      </c>
      <c r="M11" s="68">
        <f t="shared" ref="M11:M17" si="4">+L11*K11</f>
        <v>203.32891799999999</v>
      </c>
      <c r="N11" s="3">
        <f t="shared" si="0"/>
        <v>28158</v>
      </c>
      <c r="O11" s="101"/>
      <c r="P11" s="36">
        <f t="shared" si="1"/>
        <v>29513.526119999999</v>
      </c>
    </row>
    <row r="12" spans="1:16" x14ac:dyDescent="0.3">
      <c r="A12" s="79" t="s">
        <v>52</v>
      </c>
      <c r="B12" s="53">
        <v>4</v>
      </c>
      <c r="C12" s="54">
        <v>150000</v>
      </c>
      <c r="D12" s="55">
        <v>1</v>
      </c>
      <c r="E12" s="55" t="s">
        <v>15</v>
      </c>
      <c r="F12" s="19">
        <v>0.8</v>
      </c>
      <c r="G12" s="104"/>
      <c r="H12" s="84">
        <f>+B12*C12</f>
        <v>600000</v>
      </c>
      <c r="I12" s="38">
        <f>+H12</f>
        <v>600000</v>
      </c>
      <c r="J12" s="3">
        <f>H12</f>
        <v>600000</v>
      </c>
      <c r="K12" s="3">
        <f t="shared" si="3"/>
        <v>480000</v>
      </c>
      <c r="L12" s="65">
        <v>0.15</v>
      </c>
      <c r="M12" s="68">
        <f t="shared" si="4"/>
        <v>72000</v>
      </c>
      <c r="N12" s="3">
        <f t="shared" si="0"/>
        <v>300000</v>
      </c>
      <c r="O12" s="101"/>
      <c r="P12" s="36">
        <f t="shared" si="1"/>
        <v>780000</v>
      </c>
    </row>
    <row r="13" spans="1:16" x14ac:dyDescent="0.3">
      <c r="A13" s="80" t="s">
        <v>53</v>
      </c>
      <c r="B13" s="53">
        <v>0</v>
      </c>
      <c r="C13" s="54">
        <f>13451*12</f>
        <v>161412</v>
      </c>
      <c r="D13" s="55">
        <v>10</v>
      </c>
      <c r="E13" s="55" t="s">
        <v>15</v>
      </c>
      <c r="F13" s="34">
        <f>VLOOKUP(D13,Jutaléktáblák!$A$3:$B$23,2,FALSE)+IF(E13="éves",5%,0)</f>
        <v>0.27500000000000002</v>
      </c>
      <c r="G13" s="104"/>
      <c r="H13" s="38">
        <f t="shared" si="2"/>
        <v>0</v>
      </c>
      <c r="I13" s="38">
        <f>IF(H13=0,0,(H13-116900)/0.65+116900)</f>
        <v>0</v>
      </c>
      <c r="J13" s="3">
        <f>H13</f>
        <v>0</v>
      </c>
      <c r="K13" s="3">
        <f t="shared" si="3"/>
        <v>0</v>
      </c>
      <c r="L13" s="65">
        <v>0.15</v>
      </c>
      <c r="M13" s="68">
        <f t="shared" si="4"/>
        <v>0</v>
      </c>
      <c r="N13" s="3">
        <f t="shared" si="0"/>
        <v>0</v>
      </c>
      <c r="O13" s="101"/>
      <c r="P13" s="36">
        <f t="shared" si="1"/>
        <v>0</v>
      </c>
    </row>
    <row r="14" spans="1:16" x14ac:dyDescent="0.3">
      <c r="A14" s="80" t="s">
        <v>54</v>
      </c>
      <c r="B14" s="53">
        <v>0</v>
      </c>
      <c r="C14" s="54">
        <v>120000</v>
      </c>
      <c r="D14" s="55" t="s">
        <v>19</v>
      </c>
      <c r="E14" s="55" t="s">
        <v>15</v>
      </c>
      <c r="F14" s="18">
        <f>IF(H14&gt;199999,35%,25%)+IF(E14="éves",7%,0)</f>
        <v>0.25</v>
      </c>
      <c r="G14" s="104"/>
      <c r="H14" s="38">
        <f>+B14*C14</f>
        <v>0</v>
      </c>
      <c r="I14" s="38">
        <f>+H14</f>
        <v>0</v>
      </c>
      <c r="J14" s="3">
        <f>H14*0.75</f>
        <v>0</v>
      </c>
      <c r="K14" s="3">
        <f t="shared" si="3"/>
        <v>0</v>
      </c>
      <c r="L14" s="65">
        <v>0.15</v>
      </c>
      <c r="M14" s="68">
        <f t="shared" si="4"/>
        <v>0</v>
      </c>
      <c r="N14" s="3">
        <f t="shared" si="0"/>
        <v>0</v>
      </c>
      <c r="O14" s="101"/>
      <c r="P14" s="36">
        <f t="shared" si="1"/>
        <v>0</v>
      </c>
    </row>
    <row r="15" spans="1:16" x14ac:dyDescent="0.3">
      <c r="A15" s="80" t="s">
        <v>2</v>
      </c>
      <c r="B15" s="53">
        <v>0</v>
      </c>
      <c r="C15" s="54">
        <v>240000</v>
      </c>
      <c r="D15" s="55">
        <v>25</v>
      </c>
      <c r="E15" s="55" t="s">
        <v>15</v>
      </c>
      <c r="F15" s="18">
        <f ca="1">INDIRECT(ADDRESS(MATCH(D15,Jutaléktáblák!$H$3:$H$23)+2,MATCH(H15,Jutaléktáblák!$I$2:$L$2)+8,,,"Jutaléktáblák"))+IF(E15="éves",5%,0%)</f>
        <v>0.36</v>
      </c>
      <c r="G15" s="104"/>
      <c r="H15" s="38">
        <f t="shared" si="2"/>
        <v>0</v>
      </c>
      <c r="I15" s="38">
        <f>+H15</f>
        <v>0</v>
      </c>
      <c r="J15" s="3">
        <f>H15*0.75</f>
        <v>0</v>
      </c>
      <c r="K15" s="3">
        <f t="shared" ca="1" si="3"/>
        <v>0</v>
      </c>
      <c r="L15" s="65">
        <v>0.15</v>
      </c>
      <c r="M15" s="68">
        <f t="shared" ca="1" si="4"/>
        <v>0</v>
      </c>
      <c r="N15" s="3">
        <f t="shared" si="0"/>
        <v>0</v>
      </c>
      <c r="O15" s="101"/>
      <c r="P15" s="36">
        <f t="shared" ca="1" si="1"/>
        <v>0</v>
      </c>
    </row>
    <row r="16" spans="1:16" x14ac:dyDescent="0.3">
      <c r="A16" s="80" t="s">
        <v>55</v>
      </c>
      <c r="B16" s="53">
        <v>1</v>
      </c>
      <c r="C16" s="54">
        <v>650000</v>
      </c>
      <c r="D16" s="55" t="s">
        <v>19</v>
      </c>
      <c r="E16" s="55" t="s">
        <v>18</v>
      </c>
      <c r="F16" s="24">
        <f ca="1">INDIRECT(ADDRESS(MATCH(C16,Jutaléktáblák!$D$2:$D$5)+1,6,,,"Jutaléktáblák"))</f>
        <v>7.4999999999999997E-3</v>
      </c>
      <c r="G16" s="104"/>
      <c r="H16" s="38">
        <f>+B16*C16*0.1</f>
        <v>65000</v>
      </c>
      <c r="I16" s="38">
        <f>+B16*C16</f>
        <v>650000</v>
      </c>
      <c r="J16" s="3">
        <f>H16*0.75</f>
        <v>48750</v>
      </c>
      <c r="K16" s="3">
        <f t="shared" ca="1" si="3"/>
        <v>4875</v>
      </c>
      <c r="L16" s="65">
        <v>0.1</v>
      </c>
      <c r="M16" s="68">
        <f t="shared" ca="1" si="4"/>
        <v>487.5</v>
      </c>
      <c r="N16" s="3">
        <f t="shared" si="0"/>
        <v>24375</v>
      </c>
      <c r="O16" s="101"/>
      <c r="P16" s="36">
        <f t="shared" ca="1" si="1"/>
        <v>29250</v>
      </c>
    </row>
    <row r="17" spans="1:16" ht="15" thickBot="1" x14ac:dyDescent="0.35">
      <c r="A17" s="88" t="s">
        <v>4</v>
      </c>
      <c r="B17" s="56">
        <v>0</v>
      </c>
      <c r="C17" s="57">
        <v>0</v>
      </c>
      <c r="D17" s="58" t="s">
        <v>19</v>
      </c>
      <c r="E17" s="58" t="s">
        <v>15</v>
      </c>
      <c r="F17" s="22">
        <v>0.2</v>
      </c>
      <c r="G17" s="104"/>
      <c r="H17" s="48">
        <f t="shared" si="2"/>
        <v>0</v>
      </c>
      <c r="I17" s="48">
        <f>+H17*(IF(E17="havi",0.083,IF(E17="negyedéves",0.25,IF(E17="féléves",0.5,1))))</f>
        <v>0</v>
      </c>
      <c r="J17" s="23">
        <f>IF((H10+H11+H12+H13)&gt;149999,H17,0)</f>
        <v>0</v>
      </c>
      <c r="K17" s="23">
        <f t="shared" si="3"/>
        <v>0</v>
      </c>
      <c r="L17" s="66">
        <v>2.5000000000000001E-2</v>
      </c>
      <c r="M17" s="69">
        <f t="shared" si="4"/>
        <v>0</v>
      </c>
      <c r="N17" s="23">
        <f t="shared" si="0"/>
        <v>0</v>
      </c>
      <c r="O17" s="102"/>
      <c r="P17" s="49">
        <f t="shared" si="1"/>
        <v>0</v>
      </c>
    </row>
    <row r="18" spans="1:16" ht="15" thickBot="1" x14ac:dyDescent="0.35">
      <c r="H18" s="59">
        <f>SUM(H10:H17)</f>
        <v>745628</v>
      </c>
      <c r="I18" s="60">
        <f>SUM(I10:I17)</f>
        <v>1256692.1239999998</v>
      </c>
      <c r="J18" s="61">
        <f>SUM(J10:J17)</f>
        <v>729378</v>
      </c>
      <c r="K18" s="61">
        <f ca="1">SUM(K10:K17)</f>
        <v>486331.42092</v>
      </c>
      <c r="L18" s="61"/>
      <c r="M18" s="61">
        <f ca="1">SUM(M10:M17)</f>
        <v>72705.963138000006</v>
      </c>
      <c r="N18" s="61">
        <f>SUM(N10:N17)</f>
        <v>364689</v>
      </c>
      <c r="O18" s="37">
        <f>SUM(O10)</f>
        <v>0</v>
      </c>
      <c r="P18" s="62">
        <f ca="1">+K18+N18+O18</f>
        <v>851020.42091999995</v>
      </c>
    </row>
    <row r="19" spans="1:16" ht="15" thickBot="1" x14ac:dyDescent="0.35">
      <c r="A19" s="106" t="s">
        <v>62</v>
      </c>
      <c r="B19" s="107"/>
      <c r="P19" s="6"/>
    </row>
    <row r="20" spans="1:16" x14ac:dyDescent="0.3">
      <c r="A20" s="108" t="s">
        <v>63</v>
      </c>
      <c r="B20" s="111">
        <v>0.3</v>
      </c>
      <c r="P20" s="6"/>
    </row>
    <row r="21" spans="1:16" x14ac:dyDescent="0.3">
      <c r="A21" s="109" t="s">
        <v>64</v>
      </c>
      <c r="B21" s="112">
        <v>0.4</v>
      </c>
      <c r="P21" s="6"/>
    </row>
    <row r="22" spans="1:16" ht="15" thickBot="1" x14ac:dyDescent="0.35">
      <c r="A22" s="110" t="s">
        <v>65</v>
      </c>
      <c r="B22" s="113">
        <v>0.5</v>
      </c>
    </row>
    <row r="24" spans="1:16" x14ac:dyDescent="0.3">
      <c r="A24" s="25" t="s">
        <v>43</v>
      </c>
      <c r="B24" s="71">
        <f>+H10+H11+H12+H13+H14+H15+H17</f>
        <v>680628</v>
      </c>
      <c r="J24" s="4"/>
      <c r="K24" s="73"/>
    </row>
    <row r="25" spans="1:16" x14ac:dyDescent="0.3">
      <c r="A25" s="25" t="s">
        <v>44</v>
      </c>
      <c r="B25" s="71">
        <f>+H16</f>
        <v>65000</v>
      </c>
      <c r="J25" s="4"/>
    </row>
    <row r="26" spans="1:16" x14ac:dyDescent="0.3">
      <c r="A26" s="25" t="s">
        <v>5</v>
      </c>
      <c r="B26" s="72">
        <f>+J10+J11+J12+J13+J17</f>
        <v>680628</v>
      </c>
      <c r="J26" s="4"/>
    </row>
    <row r="29" spans="1:16" x14ac:dyDescent="0.3">
      <c r="A29" s="105" t="s">
        <v>60</v>
      </c>
      <c r="B29" s="105"/>
      <c r="C29" s="105"/>
      <c r="D29" s="105"/>
      <c r="E29" s="105"/>
      <c r="F29" s="105"/>
      <c r="G29" s="105"/>
    </row>
    <row r="31" spans="1:16" ht="15" thickBot="1" x14ac:dyDescent="0.35">
      <c r="B31" s="16" t="s">
        <v>61</v>
      </c>
      <c r="C31" s="114"/>
    </row>
    <row r="32" spans="1:16" x14ac:dyDescent="0.3">
      <c r="A32" s="86" t="s">
        <v>24</v>
      </c>
      <c r="B32" s="54">
        <v>90000</v>
      </c>
      <c r="C32" s="115"/>
    </row>
    <row r="33" spans="1:3" hidden="1" x14ac:dyDescent="0.3">
      <c r="A33" s="79" t="s">
        <v>51</v>
      </c>
      <c r="B33" s="54">
        <v>120000</v>
      </c>
      <c r="C33" s="115"/>
    </row>
    <row r="34" spans="1:3" x14ac:dyDescent="0.3">
      <c r="A34" s="79" t="s">
        <v>52</v>
      </c>
      <c r="B34" s="54">
        <v>150000</v>
      </c>
      <c r="C34" s="115"/>
    </row>
    <row r="35" spans="1:3" x14ac:dyDescent="0.3">
      <c r="A35" s="80" t="s">
        <v>54</v>
      </c>
      <c r="B35" s="54">
        <v>285000</v>
      </c>
      <c r="C35" s="115"/>
    </row>
    <row r="36" spans="1:3" x14ac:dyDescent="0.3">
      <c r="A36" s="80" t="s">
        <v>55</v>
      </c>
      <c r="B36" s="54">
        <v>600000</v>
      </c>
      <c r="C36" s="115"/>
    </row>
    <row r="37" spans="1:3" x14ac:dyDescent="0.3">
      <c r="C37" s="114"/>
    </row>
    <row r="38" spans="1:3" x14ac:dyDescent="0.3">
      <c r="C38" s="114"/>
    </row>
  </sheetData>
  <protectedRanges>
    <protectedRange sqref="F10:F17 H10:I17" name="Range1"/>
  </protectedRanges>
  <mergeCells count="2">
    <mergeCell ref="G10:G17"/>
    <mergeCell ref="O10:O17"/>
  </mergeCells>
  <dataValidations count="8">
    <dataValidation type="whole" allowBlank="1" showInputMessage="1" showErrorMessage="1" error="Érték csak 0 vagy 1 lehet!" sqref="B6" xr:uid="{D8A9ED3B-CF3D-4A54-A8DC-4AAC8EEF61CD}">
      <formula1>0</formula1>
      <formula2>1000000</formula2>
    </dataValidation>
    <dataValidation type="whole" allowBlank="1" showInputMessage="1" showErrorMessage="1" sqref="O6:O8" xr:uid="{5C3BC2EB-D63C-4D59-B29B-CEAC12DA0898}">
      <formula1>0</formula1>
      <formula2>1</formula2>
    </dataValidation>
    <dataValidation type="decimal" allowBlank="1" showInputMessage="1" showErrorMessage="1" error="0 és 1.000.000 Ft közötti érték vihető be!" sqref="B7" xr:uid="{5C8A0601-5A0E-4493-BFA7-1488B9FBF1C8}">
      <formula1>0</formula1>
      <formula2>1000000</formula2>
    </dataValidation>
    <dataValidation type="whole" allowBlank="1" showInputMessage="1" showErrorMessage="1" error="Érték csak 0 vagy 1 lehet!" sqref="B3:B5" xr:uid="{9A94255C-A626-4A8B-86D2-661903391897}">
      <formula1>0</formula1>
      <formula2>1</formula2>
    </dataValidation>
    <dataValidation type="whole" allowBlank="1" showInputMessage="1" showErrorMessage="1" error="A minimális díj nem lehet kisebb, mint 100.000 Ft!_x000a_" sqref="C17" xr:uid="{C3E5DE01-1F08-4D9F-860A-81A1959E5D08}">
      <formula1>0</formula1>
      <formula2>1000000000</formula2>
    </dataValidation>
    <dataValidation type="decimal" allowBlank="1" showInputMessage="1" showErrorMessage="1" sqref="B1:B2" xr:uid="{14BF9E29-E751-47F1-818A-C6D00EAE5E7C}">
      <formula1>0</formula1>
      <formula2>100</formula2>
    </dataValidation>
    <dataValidation type="whole" allowBlank="1" showInputMessage="1" showErrorMessage="1" sqref="B10:B17" xr:uid="{39AEC1E8-B6A9-4D22-BA78-E8125DBD8167}">
      <formula1>0</formula1>
      <formula2>20</formula2>
    </dataValidation>
    <dataValidation type="whole" allowBlank="1" showInputMessage="1" showErrorMessage="1" sqref="B32:C35 C10:C16" xr:uid="{BAF2D527-9CD8-4723-A9D2-3C513CBA1347}">
      <formula1>0</formula1>
      <formula2>1000000000</formula2>
    </dataValidation>
  </dataValidations>
  <pageMargins left="0.7" right="0.7" top="0.75" bottom="0.75" header="0.3" footer="0.3"/>
  <pageSetup orientation="portrait" verticalDpi="0"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3044CF84-CD17-4D52-BB8D-A182FEAAC56F}">
          <x14:formula1>
            <xm:f>Data!$C$2:$C$5</xm:f>
          </x14:formula1>
          <xm:sqref>E10:E17</xm:sqref>
        </x14:dataValidation>
        <x14:dataValidation type="list" allowBlank="1" showInputMessage="1" showErrorMessage="1" xr:uid="{C2372036-BC55-4DA9-845E-09FBF03F95BB}">
          <x14:formula1>
            <xm:f>Data!$B$2:$B$26</xm:f>
          </x14:formula1>
          <xm:sqref>D10:D12</xm:sqref>
        </x14:dataValidation>
        <x14:dataValidation type="list" allowBlank="1" showInputMessage="1" showErrorMessage="1" xr:uid="{B66C2105-F6F0-456B-83EC-8EA50DFC248A}">
          <x14:formula1>
            <xm:f>Data!$B$7:$B$26</xm:f>
          </x14:formula1>
          <xm:sqref>D12</xm:sqref>
        </x14:dataValidation>
        <x14:dataValidation type="list" allowBlank="1" showInputMessage="1" showErrorMessage="1" xr:uid="{14ED8DB6-A374-4AF1-BC09-B1938B64F9A6}">
          <x14:formula1>
            <xm:f>Data!$B$6:$B$26</xm:f>
          </x14:formula1>
          <xm:sqref>D13 D15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Jutaléktáblák</vt:lpstr>
      <vt:lpstr>Data</vt:lpstr>
      <vt:lpstr>Tanácsadó_1</vt:lpstr>
      <vt:lpstr>magyarázó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Dobrotka, Zoltán</dc:creator>
  <cp:lastModifiedBy>Judit Farkas</cp:lastModifiedBy>
  <cp:lastPrinted>2016-10-14T14:27:15Z</cp:lastPrinted>
  <dcterms:created xsi:type="dcterms:W3CDTF">2016-07-28T10:02:54Z</dcterms:created>
  <dcterms:modified xsi:type="dcterms:W3CDTF">2020-01-11T16:49:25Z</dcterms:modified>
</cp:coreProperties>
</file>